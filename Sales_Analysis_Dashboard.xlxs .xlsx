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/>
  <xr:revisionPtr revIDLastSave="0" documentId="8_{83193CB0-F40E-42AA-92BD-7549A98DECE5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Sales Data" sheetId="1" r:id="rId1"/>
    <sheet name="Category Sales Analysis" sheetId="3" r:id="rId2"/>
    <sheet name="Region Sales Analysis" sheetId="5" r:id="rId3"/>
    <sheet name="Top 5 Product Analysis" sheetId="6" r:id="rId4"/>
    <sheet name="Sales Dashboard" sheetId="7" r:id="rId5"/>
  </sheets>
  <calcPr calcId="191028"/>
  <pivotCaches>
    <pivotCache cacheId="19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1" l="1"/>
  <c r="F104" i="1"/>
  <c r="F103" i="1"/>
  <c r="F102" i="1"/>
</calcChain>
</file>

<file path=xl/sharedStrings.xml><?xml version="1.0" encoding="utf-8"?>
<sst xmlns="http://schemas.openxmlformats.org/spreadsheetml/2006/main" count="434" uniqueCount="106">
  <si>
    <t>OrderID</t>
  </si>
  <si>
    <t>OrderDate</t>
  </si>
  <si>
    <t>Region</t>
  </si>
  <si>
    <t>Category</t>
  </si>
  <si>
    <t>Product</t>
  </si>
  <si>
    <t>Sales</t>
  </si>
  <si>
    <t>Quantity</t>
  </si>
  <si>
    <t>Profit</t>
  </si>
  <si>
    <t>2025-01-24</t>
  </si>
  <si>
    <t>East</t>
  </si>
  <si>
    <t>Technology</t>
  </si>
  <si>
    <t>Laptop</t>
  </si>
  <si>
    <t>2025-01-12</t>
  </si>
  <si>
    <t>North</t>
  </si>
  <si>
    <t>Office Supplies</t>
  </si>
  <si>
    <t>Pen</t>
  </si>
  <si>
    <t>2025-05-30</t>
  </si>
  <si>
    <t>South</t>
  </si>
  <si>
    <t>2025-06-24</t>
  </si>
  <si>
    <t>2025-02-28</t>
  </si>
  <si>
    <t>2025-01-01</t>
  </si>
  <si>
    <t>West</t>
  </si>
  <si>
    <t>Notebook</t>
  </si>
  <si>
    <t>2025-03-31</t>
  </si>
  <si>
    <t>Furniture</t>
  </si>
  <si>
    <t>Table</t>
  </si>
  <si>
    <t>2025-01-05</t>
  </si>
  <si>
    <t>2025-06-28</t>
  </si>
  <si>
    <t>Mouse</t>
  </si>
  <si>
    <t>2025-06-27</t>
  </si>
  <si>
    <t>2025-06-15</t>
  </si>
  <si>
    <t>2025-01-10</t>
  </si>
  <si>
    <t>2025-04-05</t>
  </si>
  <si>
    <t>2025-05-15</t>
  </si>
  <si>
    <t>2025-01-17</t>
  </si>
  <si>
    <t>2025-06-12</t>
  </si>
  <si>
    <t>2025-06-23</t>
  </si>
  <si>
    <t>2025-05-19</t>
  </si>
  <si>
    <t>Chair</t>
  </si>
  <si>
    <t>2025-04-23</t>
  </si>
  <si>
    <t>2025-03-28</t>
  </si>
  <si>
    <t>2025-05-11</t>
  </si>
  <si>
    <t>2025-04-25</t>
  </si>
  <si>
    <t>2025-03-13</t>
  </si>
  <si>
    <t>2025-03-26</t>
  </si>
  <si>
    <t>2025-03-06</t>
  </si>
  <si>
    <t>2025-02-05</t>
  </si>
  <si>
    <t>2025-04-29</t>
  </si>
  <si>
    <t>2025-02-21</t>
  </si>
  <si>
    <t>2025-01-02</t>
  </si>
  <si>
    <t>2025-05-08</t>
  </si>
  <si>
    <t>2025-01-03</t>
  </si>
  <si>
    <t>2025-02-25</t>
  </si>
  <si>
    <t>2025-04-16</t>
  </si>
  <si>
    <t>2025-04-22</t>
  </si>
  <si>
    <t>2025-03-09</t>
  </si>
  <si>
    <t>2025-06-26</t>
  </si>
  <si>
    <t>2025-05-04</t>
  </si>
  <si>
    <t>2025-02-22</t>
  </si>
  <si>
    <t>2025-04-13</t>
  </si>
  <si>
    <t>2025-05-26</t>
  </si>
  <si>
    <t>2025-06-25</t>
  </si>
  <si>
    <t>2025-01-13</t>
  </si>
  <si>
    <t>2025-04-28</t>
  </si>
  <si>
    <t>2025-06-21</t>
  </si>
  <si>
    <t>2025-03-03</t>
  </si>
  <si>
    <t>2025-02-18</t>
  </si>
  <si>
    <t>2025-03-15</t>
  </si>
  <si>
    <t>2025-04-12</t>
  </si>
  <si>
    <t>2025-01-16</t>
  </si>
  <si>
    <t>2025-04-18</t>
  </si>
  <si>
    <t>2025-04-20</t>
  </si>
  <si>
    <t>2025-04-14</t>
  </si>
  <si>
    <t>2025-05-28</t>
  </si>
  <si>
    <t>2025-02-06</t>
  </si>
  <si>
    <t>2025-03-07</t>
  </si>
  <si>
    <t>2025-05-23</t>
  </si>
  <si>
    <t>2025-04-09</t>
  </si>
  <si>
    <t>2025-05-14</t>
  </si>
  <si>
    <t>2025-05-13</t>
  </si>
  <si>
    <t>2025-06-08</t>
  </si>
  <si>
    <t>2025-03-21</t>
  </si>
  <si>
    <t>2025-04-27</t>
  </si>
  <si>
    <t>2025-02-04</t>
  </si>
  <si>
    <t>2025-04-07</t>
  </si>
  <si>
    <t>2025-01-29</t>
  </si>
  <si>
    <t>2025-01-22</t>
  </si>
  <si>
    <t>2025-05-02</t>
  </si>
  <si>
    <t>2025-02-19</t>
  </si>
  <si>
    <t>2025-04-17</t>
  </si>
  <si>
    <t>2025-01-18</t>
  </si>
  <si>
    <t>2025-04-08</t>
  </si>
  <si>
    <t>2025-01-31</t>
  </si>
  <si>
    <t>2025-04-06</t>
  </si>
  <si>
    <t>2025-02-27</t>
  </si>
  <si>
    <t>2025-05-27</t>
  </si>
  <si>
    <t>2025-02-23</t>
  </si>
  <si>
    <t>2025-04-04</t>
  </si>
  <si>
    <t>2025-06-11</t>
  </si>
  <si>
    <t>TOTAL=</t>
  </si>
  <si>
    <t>AVERAGE</t>
  </si>
  <si>
    <t>HIGHEST VALUE=</t>
  </si>
  <si>
    <t>LOWEST VALUE=</t>
  </si>
  <si>
    <t>Sum of Sales</t>
  </si>
  <si>
    <t>Grand Total</t>
  </si>
  <si>
    <t>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</si>
</sst>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4"/>
      <name val="Rockwell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[Sales_Analysis_Dashboard.xlxs .xlsx]Category Sales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 Analysis'!$B$4:$B$7</c:f>
              <c:numCache>
                <c:formatCode>General</c:formatCode>
                <c:ptCount val="3"/>
                <c:pt idx="0">
                  <c:v>76553</c:v>
                </c:pt>
                <c:pt idx="1">
                  <c:v>103821</c:v>
                </c:pt>
                <c:pt idx="2">
                  <c:v>67987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8-4DC9-8EB2-818BB6C97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2077576"/>
        <c:axId val="492079624"/>
      </c:barChart>
      <c:catAx>
        <c:axId val="49207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9624"/>
        <c:crosses val="autoZero"/>
        <c:auto val="1"/>
        <c:lblAlgn val="ctr"/>
        <c:lblOffset val="100"/>
        <c:noMultiLvlLbl val="0"/>
      </c:catAx>
      <c:valAx>
        <c:axId val="49207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[Sales_Analysis_Dashboard.xlxs .xlsx]Region Sales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Sales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 Analysis'!$B$4:$B$8</c:f>
              <c:numCache>
                <c:formatCode>General</c:formatCode>
                <c:ptCount val="4"/>
                <c:pt idx="0">
                  <c:v>66868</c:v>
                </c:pt>
                <c:pt idx="1">
                  <c:v>64444</c:v>
                </c:pt>
                <c:pt idx="2">
                  <c:v>67777</c:v>
                </c:pt>
                <c:pt idx="3">
                  <c:v>49272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1A7-8C6B-824B4C7F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2073992"/>
        <c:axId val="492076040"/>
      </c:barChart>
      <c:catAx>
        <c:axId val="49207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6040"/>
        <c:crosses val="autoZero"/>
        <c:auto val="1"/>
        <c:lblAlgn val="ctr"/>
        <c:lblOffset val="100"/>
        <c:noMultiLvlLbl val="0"/>
      </c:catAx>
      <c:valAx>
        <c:axId val="49207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3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[Sales_Analysis_Dashboard.xlxs .xlsx]Top 5 Product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5 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Product Analysis'!$A$4:$A$9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Notebook</c:v>
                </c:pt>
                <c:pt idx="3">
                  <c:v>Pen</c:v>
                </c:pt>
                <c:pt idx="4">
                  <c:v>Table</c:v>
                </c:pt>
              </c:strCache>
            </c:strRef>
          </c:cat>
          <c:val>
            <c:numRef>
              <c:f>'Top 5 Product Analysis'!$B$4:$B$9</c:f>
              <c:numCache>
                <c:formatCode>General</c:formatCode>
                <c:ptCount val="5"/>
                <c:pt idx="0">
                  <c:v>36107</c:v>
                </c:pt>
                <c:pt idx="1">
                  <c:v>31880</c:v>
                </c:pt>
                <c:pt idx="2">
                  <c:v>43863</c:v>
                </c:pt>
                <c:pt idx="3">
                  <c:v>59958</c:v>
                </c:pt>
                <c:pt idx="4">
                  <c:v>48013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C-4661-8643-F5BAF7813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4422536"/>
        <c:axId val="534934536"/>
      </c:barChart>
      <c:catAx>
        <c:axId val="49442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34536"/>
        <c:crosses val="autoZero"/>
        <c:auto val="1"/>
        <c:lblAlgn val="ctr"/>
        <c:lblOffset val="100"/>
        <c:noMultiLvlLbl val="0"/>
      </c:catAx>
      <c:valAx>
        <c:axId val="53493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2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[Sales_Analysis_Dashboard.xlxs .xlsx]Category Sales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F81B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 Analysis'!$B$4:$B$7</c:f>
              <c:numCache>
                <c:formatCode>General</c:formatCode>
                <c:ptCount val="3"/>
                <c:pt idx="0">
                  <c:v>76553</c:v>
                </c:pt>
                <c:pt idx="1">
                  <c:v>103821</c:v>
                </c:pt>
                <c:pt idx="2">
                  <c:v>67987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9-45B0-8674-1547398D8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2077576"/>
        <c:axId val="492079624"/>
      </c:barChart>
      <c:catAx>
        <c:axId val="49207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9624"/>
        <c:crosses val="autoZero"/>
        <c:auto val="1"/>
        <c:lblAlgn val="ctr"/>
        <c:lblOffset val="100"/>
        <c:noMultiLvlLbl val="0"/>
      </c:catAx>
      <c:valAx>
        <c:axId val="49207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[Sales_Analysis_Dashboard.xlxs .xlsx]Region Sales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F81B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Sales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 Analysis'!$B$4:$B$8</c:f>
              <c:numCache>
                <c:formatCode>General</c:formatCode>
                <c:ptCount val="4"/>
                <c:pt idx="0">
                  <c:v>66868</c:v>
                </c:pt>
                <c:pt idx="1">
                  <c:v>64444</c:v>
                </c:pt>
                <c:pt idx="2">
                  <c:v>67777</c:v>
                </c:pt>
                <c:pt idx="3">
                  <c:v>49272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0-4D55-A7D6-1051F44F7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2073992"/>
        <c:axId val="492076040"/>
      </c:barChart>
      <c:catAx>
        <c:axId val="49207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6040"/>
        <c:crosses val="autoZero"/>
        <c:auto val="1"/>
        <c:lblAlgn val="ctr"/>
        <c:lblOffset val="100"/>
        <c:noMultiLvlLbl val="0"/>
      </c:catAx>
      <c:valAx>
        <c:axId val="49207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3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[Sales_Analysis_Dashboard.xlxs .xlsx]Top 5 Product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F81B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5 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Product Analysis'!$A$4:$A$9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Notebook</c:v>
                </c:pt>
                <c:pt idx="3">
                  <c:v>Pen</c:v>
                </c:pt>
                <c:pt idx="4">
                  <c:v>Table</c:v>
                </c:pt>
              </c:strCache>
            </c:strRef>
          </c:cat>
          <c:val>
            <c:numRef>
              <c:f>'Top 5 Product Analysis'!$B$4:$B$9</c:f>
              <c:numCache>
                <c:formatCode>General</c:formatCode>
                <c:ptCount val="5"/>
                <c:pt idx="0">
                  <c:v>36107</c:v>
                </c:pt>
                <c:pt idx="1">
                  <c:v>31880</c:v>
                </c:pt>
                <c:pt idx="2">
                  <c:v>43863</c:v>
                </c:pt>
                <c:pt idx="3">
                  <c:v>59958</c:v>
                </c:pt>
                <c:pt idx="4">
                  <c:v>48013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6-4163-AA0B-065AAEB2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4422536"/>
        <c:axId val="534934536"/>
      </c:barChart>
      <c:catAx>
        <c:axId val="49442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34536"/>
        <c:crosses val="autoZero"/>
        <c:auto val="1"/>
        <c:lblAlgn val="ctr"/>
        <c:lblOffset val="100"/>
        <c:noMultiLvlLbl val="0"/>
      </c:catAx>
      <c:valAx>
        <c:axId val="53493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2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</xdr:row>
      <xdr:rowOff>171450</xdr:rowOff>
    </xdr:from>
    <xdr:to>
      <xdr:col>11</xdr:col>
      <xdr:colOff>114300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807A1-1D49-D30C-7F1D-27ADE52A7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4</xdr:row>
      <xdr:rowOff>152400</xdr:rowOff>
    </xdr:from>
    <xdr:to>
      <xdr:col>11</xdr:col>
      <xdr:colOff>333375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76D3C-3846-7594-F6B7-4D4D64A94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5</xdr:row>
      <xdr:rowOff>85725</xdr:rowOff>
    </xdr:from>
    <xdr:to>
      <xdr:col>11</xdr:col>
      <xdr:colOff>152400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0D3BC-5FD3-C047-BD5B-95D117632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2</xdr:row>
      <xdr:rowOff>0</xdr:rowOff>
    </xdr:from>
    <xdr:to>
      <xdr:col>6</xdr:col>
      <xdr:colOff>581025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3C74C-FDD1-4DD8-9E51-09FBFCBDE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2</xdr:row>
      <xdr:rowOff>9525</xdr:rowOff>
    </xdr:from>
    <xdr:to>
      <xdr:col>20</xdr:col>
      <xdr:colOff>38100</xdr:colOff>
      <xdr:row>11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538B98-6A0E-486F-953D-7DDE12F6C3E6}"/>
            </a:ext>
            <a:ext uri="{147F2762-F138-4A5C-976F-8EAC2B608ADB}">
              <a16:predDERef xmlns:a16="http://schemas.microsoft.com/office/drawing/2014/main" pred="{22C3C74C-FDD1-4DD8-9E51-09FBFCBDE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228600</xdr:colOff>
      <xdr:row>13</xdr:row>
      <xdr:rowOff>133350</xdr:rowOff>
    </xdr:from>
    <xdr:to>
      <xdr:col>12</xdr:col>
      <xdr:colOff>361950</xdr:colOff>
      <xdr:row>26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5105EC-D0F7-4401-B1CA-2C1F937524FE}"/>
            </a:ext>
            <a:ext uri="{147F2762-F138-4A5C-976F-8EAC2B608ADB}">
              <a16:predDERef xmlns:a16="http://schemas.microsoft.com/office/drawing/2014/main" pred="{FB538B98-6A0E-486F-953D-7DDE12F6C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5.655222685185" createdVersion="8" refreshedVersion="8" minRefreshableVersion="3" recordCount="100" xr:uid="{DA3DD4D2-ED21-4AC1-A99A-F4981112BCE8}">
  <cacheSource type="worksheet">
    <worksheetSource ref="A1:H101" sheet="Sales Data"/>
  </cacheSource>
  <cacheFields count="8">
    <cacheField name="OrderID" numFmtId="0">
      <sharedItems containsSemiMixedTypes="0" containsString="0" containsNumber="1" containsInteger="1" minValue="1001" maxValue="1100"/>
    </cacheField>
    <cacheField name="OrderDate" numFmtId="0">
      <sharedItems/>
    </cacheField>
    <cacheField name="Region" numFmtId="0">
      <sharedItems count="4">
        <s v="East"/>
        <s v="North"/>
        <s v="South"/>
        <s v="West"/>
      </sharedItems>
    </cacheField>
    <cacheField name="Category" numFmtId="0">
      <sharedItems count="3">
        <s v="Technology"/>
        <s v="Office Supplies"/>
        <s v="Furniture"/>
      </sharedItems>
    </cacheField>
    <cacheField name="Product" numFmtId="0">
      <sharedItems count="6">
        <s v="Laptop"/>
        <s v="Pen"/>
        <s v="Notebook"/>
        <s v="Table"/>
        <s v="Mouse"/>
        <s v="Chair"/>
      </sharedItems>
    </cacheField>
    <cacheField name="Sales" numFmtId="0">
      <sharedItems containsSemiMixedTypes="0" containsString="0" containsNumber="1" containsInteger="1" minValue="265" maxValue="4996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minValue="34.520000000000003" maxValue="1243.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s v="2025-01-24"/>
    <x v="0"/>
    <x v="0"/>
    <x v="0"/>
    <n v="787"/>
    <n v="6"/>
    <n v="220.65"/>
  </r>
  <r>
    <n v="1002"/>
    <s v="2025-01-12"/>
    <x v="1"/>
    <x v="1"/>
    <x v="1"/>
    <n v="614"/>
    <n v="10"/>
    <n v="100.61"/>
  </r>
  <r>
    <n v="1003"/>
    <s v="2025-05-30"/>
    <x v="2"/>
    <x v="1"/>
    <x v="1"/>
    <n v="2198"/>
    <n v="7"/>
    <n v="605.09"/>
  </r>
  <r>
    <n v="1004"/>
    <s v="2025-06-24"/>
    <x v="2"/>
    <x v="1"/>
    <x v="1"/>
    <n v="509"/>
    <n v="6"/>
    <n v="134.6"/>
  </r>
  <r>
    <n v="1005"/>
    <s v="2025-02-28"/>
    <x v="1"/>
    <x v="1"/>
    <x v="1"/>
    <n v="3138"/>
    <n v="5"/>
    <n v="528.44000000000005"/>
  </r>
  <r>
    <n v="1006"/>
    <s v="2025-01-01"/>
    <x v="3"/>
    <x v="1"/>
    <x v="2"/>
    <n v="1298"/>
    <n v="7"/>
    <n v="167.14"/>
  </r>
  <r>
    <n v="1007"/>
    <s v="2025-03-31"/>
    <x v="0"/>
    <x v="2"/>
    <x v="3"/>
    <n v="1284"/>
    <n v="4"/>
    <n v="247.01"/>
  </r>
  <r>
    <n v="1008"/>
    <s v="2025-01-05"/>
    <x v="2"/>
    <x v="0"/>
    <x v="0"/>
    <n v="4092"/>
    <n v="2"/>
    <n v="928.58"/>
  </r>
  <r>
    <n v="1009"/>
    <s v="2025-06-28"/>
    <x v="1"/>
    <x v="0"/>
    <x v="4"/>
    <n v="3749"/>
    <n v="5"/>
    <n v="748.62"/>
  </r>
  <r>
    <n v="1010"/>
    <s v="2025-06-27"/>
    <x v="3"/>
    <x v="2"/>
    <x v="3"/>
    <n v="3214"/>
    <n v="9"/>
    <n v="301.02999999999997"/>
  </r>
  <r>
    <n v="1011"/>
    <s v="2025-06-15"/>
    <x v="1"/>
    <x v="2"/>
    <x v="3"/>
    <n v="3382"/>
    <n v="10"/>
    <n v="429.32"/>
  </r>
  <r>
    <n v="1012"/>
    <s v="2025-01-10"/>
    <x v="2"/>
    <x v="1"/>
    <x v="1"/>
    <n v="3797"/>
    <n v="3"/>
    <n v="803.17"/>
  </r>
  <r>
    <n v="1013"/>
    <s v="2025-04-05"/>
    <x v="2"/>
    <x v="0"/>
    <x v="4"/>
    <n v="282"/>
    <n v="3"/>
    <n v="70.97"/>
  </r>
  <r>
    <n v="1014"/>
    <s v="2025-05-15"/>
    <x v="2"/>
    <x v="0"/>
    <x v="4"/>
    <n v="904"/>
    <n v="3"/>
    <n v="180.78"/>
  </r>
  <r>
    <n v="1015"/>
    <s v="2025-01-17"/>
    <x v="2"/>
    <x v="1"/>
    <x v="2"/>
    <n v="4647"/>
    <n v="8"/>
    <n v="1028.5899999999999"/>
  </r>
  <r>
    <n v="1016"/>
    <s v="2025-06-12"/>
    <x v="0"/>
    <x v="1"/>
    <x v="2"/>
    <n v="3476"/>
    <n v="5"/>
    <n v="412.86"/>
  </r>
  <r>
    <n v="1017"/>
    <s v="2025-06-23"/>
    <x v="2"/>
    <x v="2"/>
    <x v="3"/>
    <n v="2830"/>
    <n v="3"/>
    <n v="335.55"/>
  </r>
  <r>
    <n v="1018"/>
    <s v="2025-05-19"/>
    <x v="0"/>
    <x v="2"/>
    <x v="5"/>
    <n v="1681"/>
    <n v="5"/>
    <n v="108.49"/>
  </r>
  <r>
    <n v="1019"/>
    <s v="2025-04-23"/>
    <x v="1"/>
    <x v="1"/>
    <x v="1"/>
    <n v="1789"/>
    <n v="7"/>
    <n v="458.62"/>
  </r>
  <r>
    <n v="1020"/>
    <s v="2025-03-28"/>
    <x v="0"/>
    <x v="1"/>
    <x v="2"/>
    <n v="2444"/>
    <n v="10"/>
    <n v="666.56"/>
  </r>
  <r>
    <n v="1021"/>
    <s v="2025-05-11"/>
    <x v="0"/>
    <x v="1"/>
    <x v="2"/>
    <n v="3737"/>
    <n v="1"/>
    <n v="489.06"/>
  </r>
  <r>
    <n v="1022"/>
    <s v="2025-04-25"/>
    <x v="0"/>
    <x v="0"/>
    <x v="4"/>
    <n v="4170"/>
    <n v="1"/>
    <n v="731.54"/>
  </r>
  <r>
    <n v="1023"/>
    <s v="2025-03-13"/>
    <x v="1"/>
    <x v="1"/>
    <x v="1"/>
    <n v="1578"/>
    <n v="1"/>
    <n v="409.52"/>
  </r>
  <r>
    <n v="1024"/>
    <s v="2025-03-28"/>
    <x v="3"/>
    <x v="0"/>
    <x v="0"/>
    <n v="4759"/>
    <n v="1"/>
    <n v="813.6"/>
  </r>
  <r>
    <n v="1025"/>
    <s v="2025-03-26"/>
    <x v="2"/>
    <x v="1"/>
    <x v="1"/>
    <n v="2207"/>
    <n v="9"/>
    <n v="389.72"/>
  </r>
  <r>
    <n v="1026"/>
    <s v="2025-03-06"/>
    <x v="0"/>
    <x v="0"/>
    <x v="4"/>
    <n v="4545"/>
    <n v="7"/>
    <n v="337.39"/>
  </r>
  <r>
    <n v="1027"/>
    <s v="2025-02-05"/>
    <x v="1"/>
    <x v="1"/>
    <x v="1"/>
    <n v="4646"/>
    <n v="3"/>
    <n v="1090.8"/>
  </r>
  <r>
    <n v="1028"/>
    <s v="2025-04-29"/>
    <x v="1"/>
    <x v="2"/>
    <x v="3"/>
    <n v="3285"/>
    <n v="6"/>
    <n v="819.85"/>
  </r>
  <r>
    <n v="1029"/>
    <s v="2025-02-21"/>
    <x v="2"/>
    <x v="1"/>
    <x v="2"/>
    <n v="1084"/>
    <n v="8"/>
    <n v="167.7"/>
  </r>
  <r>
    <n v="1030"/>
    <s v="2025-01-02"/>
    <x v="3"/>
    <x v="2"/>
    <x v="5"/>
    <n v="3255"/>
    <n v="2"/>
    <n v="242.68"/>
  </r>
  <r>
    <n v="1031"/>
    <s v="2025-05-08"/>
    <x v="1"/>
    <x v="2"/>
    <x v="3"/>
    <n v="2669"/>
    <n v="5"/>
    <n v="146.43"/>
  </r>
  <r>
    <n v="1032"/>
    <s v="2025-01-03"/>
    <x v="3"/>
    <x v="2"/>
    <x v="3"/>
    <n v="894"/>
    <n v="9"/>
    <n v="215.51"/>
  </r>
  <r>
    <n v="1033"/>
    <s v="2025-02-25"/>
    <x v="0"/>
    <x v="0"/>
    <x v="4"/>
    <n v="3366"/>
    <n v="6"/>
    <n v="917.67"/>
  </r>
  <r>
    <n v="1034"/>
    <s v="2025-01-02"/>
    <x v="2"/>
    <x v="1"/>
    <x v="1"/>
    <n v="2034"/>
    <n v="2"/>
    <n v="164.87"/>
  </r>
  <r>
    <n v="1035"/>
    <s v="2025-01-10"/>
    <x v="1"/>
    <x v="2"/>
    <x v="5"/>
    <n v="2485"/>
    <n v="2"/>
    <n v="712.69"/>
  </r>
  <r>
    <n v="1036"/>
    <s v="2025-04-16"/>
    <x v="3"/>
    <x v="2"/>
    <x v="5"/>
    <n v="2587"/>
    <n v="6"/>
    <n v="689.97"/>
  </r>
  <r>
    <n v="1037"/>
    <s v="2025-04-22"/>
    <x v="1"/>
    <x v="2"/>
    <x v="3"/>
    <n v="1230"/>
    <n v="3"/>
    <n v="68.19"/>
  </r>
  <r>
    <n v="1038"/>
    <s v="2025-03-09"/>
    <x v="3"/>
    <x v="1"/>
    <x v="1"/>
    <n v="4090"/>
    <n v="5"/>
    <n v="294.38"/>
  </r>
  <r>
    <n v="1039"/>
    <s v="2025-03-06"/>
    <x v="1"/>
    <x v="1"/>
    <x v="1"/>
    <n v="1196"/>
    <n v="6"/>
    <n v="126.47"/>
  </r>
  <r>
    <n v="1040"/>
    <s v="2025-06-26"/>
    <x v="2"/>
    <x v="0"/>
    <x v="0"/>
    <n v="600"/>
    <n v="8"/>
    <n v="125.01"/>
  </r>
  <r>
    <n v="1041"/>
    <s v="2025-05-04"/>
    <x v="2"/>
    <x v="2"/>
    <x v="3"/>
    <n v="2685"/>
    <n v="6"/>
    <n v="574.61"/>
  </r>
  <r>
    <n v="1042"/>
    <s v="2025-01-02"/>
    <x v="2"/>
    <x v="0"/>
    <x v="0"/>
    <n v="2755"/>
    <n v="6"/>
    <n v="671.12"/>
  </r>
  <r>
    <n v="1043"/>
    <s v="2025-03-09"/>
    <x v="0"/>
    <x v="2"/>
    <x v="5"/>
    <n v="790"/>
    <n v="10"/>
    <n v="75.400000000000006"/>
  </r>
  <r>
    <n v="1044"/>
    <s v="2025-02-22"/>
    <x v="2"/>
    <x v="1"/>
    <x v="1"/>
    <n v="2944"/>
    <n v="10"/>
    <n v="668.13"/>
  </r>
  <r>
    <n v="1045"/>
    <s v="2025-04-13"/>
    <x v="1"/>
    <x v="0"/>
    <x v="4"/>
    <n v="318"/>
    <n v="6"/>
    <n v="76.19"/>
  </r>
  <r>
    <n v="1046"/>
    <s v="2025-05-26"/>
    <x v="1"/>
    <x v="0"/>
    <x v="4"/>
    <n v="588"/>
    <n v="9"/>
    <n v="58.63"/>
  </r>
  <r>
    <n v="1047"/>
    <s v="2025-06-25"/>
    <x v="3"/>
    <x v="0"/>
    <x v="4"/>
    <n v="1343"/>
    <n v="10"/>
    <n v="183.36"/>
  </r>
  <r>
    <n v="1048"/>
    <s v="2025-01-13"/>
    <x v="3"/>
    <x v="2"/>
    <x v="3"/>
    <n v="2063"/>
    <n v="4"/>
    <n v="555.78"/>
  </r>
  <r>
    <n v="1049"/>
    <s v="2025-01-24"/>
    <x v="0"/>
    <x v="2"/>
    <x v="3"/>
    <n v="3459"/>
    <n v="6"/>
    <n v="934.14"/>
  </r>
  <r>
    <n v="1050"/>
    <s v="2025-04-28"/>
    <x v="3"/>
    <x v="0"/>
    <x v="4"/>
    <n v="2472"/>
    <n v="7"/>
    <n v="396.91"/>
  </r>
  <r>
    <n v="1051"/>
    <s v="2025-06-21"/>
    <x v="1"/>
    <x v="1"/>
    <x v="1"/>
    <n v="2201"/>
    <n v="6"/>
    <n v="411.51"/>
  </r>
  <r>
    <n v="1052"/>
    <s v="2025-03-03"/>
    <x v="3"/>
    <x v="0"/>
    <x v="0"/>
    <n v="3800"/>
    <n v="2"/>
    <n v="665.88"/>
  </r>
  <r>
    <n v="1053"/>
    <s v="2025-06-12"/>
    <x v="3"/>
    <x v="2"/>
    <x v="3"/>
    <n v="4559"/>
    <n v="6"/>
    <n v="324.02999999999997"/>
  </r>
  <r>
    <n v="1054"/>
    <s v="2025-02-18"/>
    <x v="3"/>
    <x v="2"/>
    <x v="5"/>
    <n v="1475"/>
    <n v="7"/>
    <n v="154.68"/>
  </r>
  <r>
    <n v="1055"/>
    <s v="2025-02-28"/>
    <x v="2"/>
    <x v="1"/>
    <x v="2"/>
    <n v="1917"/>
    <n v="2"/>
    <n v="434.62"/>
  </r>
  <r>
    <n v="1056"/>
    <s v="2025-03-15"/>
    <x v="2"/>
    <x v="0"/>
    <x v="0"/>
    <n v="2996"/>
    <n v="5"/>
    <n v="361.08"/>
  </r>
  <r>
    <n v="1057"/>
    <s v="2025-04-12"/>
    <x v="2"/>
    <x v="0"/>
    <x v="4"/>
    <n v="2007"/>
    <n v="5"/>
    <n v="312.70999999999998"/>
  </r>
  <r>
    <n v="1058"/>
    <s v="2025-01-16"/>
    <x v="1"/>
    <x v="2"/>
    <x v="5"/>
    <n v="2673"/>
    <n v="4"/>
    <n v="202.32"/>
  </r>
  <r>
    <n v="1059"/>
    <s v="2025-04-18"/>
    <x v="1"/>
    <x v="2"/>
    <x v="3"/>
    <n v="780"/>
    <n v="4"/>
    <n v="164.17"/>
  </r>
  <r>
    <n v="1060"/>
    <s v="2025-04-20"/>
    <x v="1"/>
    <x v="2"/>
    <x v="5"/>
    <n v="4936"/>
    <n v="9"/>
    <n v="247.61"/>
  </r>
  <r>
    <n v="1061"/>
    <s v="2025-04-14"/>
    <x v="1"/>
    <x v="1"/>
    <x v="1"/>
    <n v="899"/>
    <n v="8"/>
    <n v="68.239999999999995"/>
  </r>
  <r>
    <n v="1062"/>
    <s v="2025-05-28"/>
    <x v="1"/>
    <x v="1"/>
    <x v="2"/>
    <n v="2545"/>
    <n v="1"/>
    <n v="386.49"/>
  </r>
  <r>
    <n v="1063"/>
    <s v="2025-02-06"/>
    <x v="2"/>
    <x v="2"/>
    <x v="3"/>
    <n v="1569"/>
    <n v="1"/>
    <n v="226.57"/>
  </r>
  <r>
    <n v="1064"/>
    <s v="2025-04-23"/>
    <x v="0"/>
    <x v="1"/>
    <x v="2"/>
    <n v="1036"/>
    <n v="9"/>
    <n v="91.41"/>
  </r>
  <r>
    <n v="1065"/>
    <s v="2025-03-07"/>
    <x v="0"/>
    <x v="2"/>
    <x v="5"/>
    <n v="3690"/>
    <n v="9"/>
    <n v="951.71"/>
  </r>
  <r>
    <n v="1066"/>
    <s v="2025-05-23"/>
    <x v="2"/>
    <x v="2"/>
    <x v="5"/>
    <n v="1964"/>
    <n v="9"/>
    <n v="287.69"/>
  </r>
  <r>
    <n v="1067"/>
    <s v="2025-04-09"/>
    <x v="0"/>
    <x v="1"/>
    <x v="2"/>
    <n v="2271"/>
    <n v="2"/>
    <n v="629"/>
  </r>
  <r>
    <n v="1068"/>
    <s v="2025-05-14"/>
    <x v="1"/>
    <x v="1"/>
    <x v="1"/>
    <n v="3480"/>
    <n v="4"/>
    <n v="677.49"/>
  </r>
  <r>
    <n v="1069"/>
    <s v="2025-05-13"/>
    <x v="1"/>
    <x v="1"/>
    <x v="2"/>
    <n v="4791"/>
    <n v="10"/>
    <n v="305.39999999999998"/>
  </r>
  <r>
    <n v="1070"/>
    <s v="2025-06-08"/>
    <x v="0"/>
    <x v="0"/>
    <x v="4"/>
    <n v="778"/>
    <n v="7"/>
    <n v="220.32"/>
  </r>
  <r>
    <n v="1071"/>
    <s v="2025-06-15"/>
    <x v="1"/>
    <x v="1"/>
    <x v="2"/>
    <n v="3867"/>
    <n v="3"/>
    <n v="847.33"/>
  </r>
  <r>
    <n v="1072"/>
    <s v="2025-03-21"/>
    <x v="3"/>
    <x v="1"/>
    <x v="2"/>
    <n v="1297"/>
    <n v="4"/>
    <n v="109.69"/>
  </r>
  <r>
    <n v="1073"/>
    <s v="2025-05-23"/>
    <x v="2"/>
    <x v="1"/>
    <x v="1"/>
    <n v="2509"/>
    <n v="6"/>
    <n v="261.01"/>
  </r>
  <r>
    <n v="1074"/>
    <s v="2025-06-08"/>
    <x v="0"/>
    <x v="2"/>
    <x v="5"/>
    <n v="2341"/>
    <n v="3"/>
    <n v="628.52"/>
  </r>
  <r>
    <n v="1075"/>
    <s v="2025-06-26"/>
    <x v="2"/>
    <x v="1"/>
    <x v="1"/>
    <n v="4627"/>
    <n v="6"/>
    <n v="677.28"/>
  </r>
  <r>
    <n v="1076"/>
    <s v="2025-02-05"/>
    <x v="3"/>
    <x v="0"/>
    <x v="4"/>
    <n v="3925"/>
    <n v="8"/>
    <n v="562.05999999999995"/>
  </r>
  <r>
    <n v="1077"/>
    <s v="2025-04-27"/>
    <x v="2"/>
    <x v="0"/>
    <x v="4"/>
    <n v="3168"/>
    <n v="8"/>
    <n v="327.64999999999998"/>
  </r>
  <r>
    <n v="1078"/>
    <s v="2025-02-04"/>
    <x v="0"/>
    <x v="2"/>
    <x v="5"/>
    <n v="663"/>
    <n v="10"/>
    <n v="157.59"/>
  </r>
  <r>
    <n v="1079"/>
    <s v="2025-04-07"/>
    <x v="0"/>
    <x v="1"/>
    <x v="1"/>
    <n v="4996"/>
    <n v="4"/>
    <n v="527.28"/>
  </r>
  <r>
    <n v="1080"/>
    <s v="2025-01-16"/>
    <x v="3"/>
    <x v="1"/>
    <x v="1"/>
    <n v="749"/>
    <n v="5"/>
    <n v="45.24"/>
  </r>
  <r>
    <n v="1081"/>
    <s v="2025-05-15"/>
    <x v="3"/>
    <x v="0"/>
    <x v="0"/>
    <n v="3048"/>
    <n v="10"/>
    <n v="902.42"/>
  </r>
  <r>
    <n v="1082"/>
    <s v="2025-06-21"/>
    <x v="1"/>
    <x v="0"/>
    <x v="0"/>
    <n v="490"/>
    <n v="9"/>
    <n v="39.74"/>
  </r>
  <r>
    <n v="1083"/>
    <s v="2025-01-29"/>
    <x v="0"/>
    <x v="1"/>
    <x v="2"/>
    <n v="1602"/>
    <n v="1"/>
    <n v="275.29000000000002"/>
  </r>
  <r>
    <n v="1084"/>
    <s v="2025-01-22"/>
    <x v="2"/>
    <x v="1"/>
    <x v="1"/>
    <n v="4937"/>
    <n v="9"/>
    <n v="1243.29"/>
  </r>
  <r>
    <n v="1085"/>
    <s v="2025-05-02"/>
    <x v="0"/>
    <x v="2"/>
    <x v="3"/>
    <n v="3732"/>
    <n v="6"/>
    <n v="1075.96"/>
  </r>
  <r>
    <n v="1086"/>
    <s v="2025-05-15"/>
    <x v="2"/>
    <x v="0"/>
    <x v="4"/>
    <n v="265"/>
    <n v="4"/>
    <n v="37.96"/>
  </r>
  <r>
    <n v="1087"/>
    <s v="2025-02-19"/>
    <x v="0"/>
    <x v="0"/>
    <x v="0"/>
    <n v="4073"/>
    <n v="5"/>
    <n v="401.34"/>
  </r>
  <r>
    <n v="1088"/>
    <s v="2025-04-17"/>
    <x v="2"/>
    <x v="1"/>
    <x v="2"/>
    <n v="1035"/>
    <n v="5"/>
    <n v="155.06"/>
  </r>
  <r>
    <n v="1089"/>
    <s v="2025-01-18"/>
    <x v="2"/>
    <x v="2"/>
    <x v="3"/>
    <n v="3328"/>
    <n v="3"/>
    <n v="768.24"/>
  </r>
  <r>
    <n v="1090"/>
    <s v="2025-04-08"/>
    <x v="0"/>
    <x v="0"/>
    <x v="0"/>
    <n v="4820"/>
    <n v="1"/>
    <n v="769.76"/>
  </r>
  <r>
    <n v="1091"/>
    <s v="2025-01-31"/>
    <x v="0"/>
    <x v="2"/>
    <x v="3"/>
    <n v="1072"/>
    <n v="1"/>
    <n v="80.77"/>
  </r>
  <r>
    <n v="1092"/>
    <s v="2025-01-05"/>
    <x v="3"/>
    <x v="1"/>
    <x v="1"/>
    <n v="642"/>
    <n v="5"/>
    <n v="120.14"/>
  </r>
  <r>
    <n v="1093"/>
    <s v="2025-04-06"/>
    <x v="0"/>
    <x v="2"/>
    <x v="3"/>
    <n v="4084"/>
    <n v="8"/>
    <n v="623.52"/>
  </r>
  <r>
    <n v="1094"/>
    <s v="2025-04-14"/>
    <x v="1"/>
    <x v="1"/>
    <x v="2"/>
    <n v="4310"/>
    <n v="5"/>
    <n v="1008.87"/>
  </r>
  <r>
    <n v="1095"/>
    <s v="2025-02-27"/>
    <x v="0"/>
    <x v="1"/>
    <x v="2"/>
    <n v="1595"/>
    <n v="8"/>
    <n v="319.02"/>
  </r>
  <r>
    <n v="1096"/>
    <s v="2025-05-27"/>
    <x v="1"/>
    <x v="1"/>
    <x v="2"/>
    <n v="911"/>
    <n v="4"/>
    <n v="73.959999999999994"/>
  </r>
  <r>
    <n v="1097"/>
    <s v="2025-02-23"/>
    <x v="0"/>
    <x v="1"/>
    <x v="1"/>
    <n v="376"/>
    <n v="2"/>
    <n v="34.520000000000003"/>
  </r>
  <r>
    <n v="1098"/>
    <s v="2025-04-16"/>
    <x v="2"/>
    <x v="0"/>
    <x v="0"/>
    <n v="3887"/>
    <n v="6"/>
    <n v="951.46"/>
  </r>
  <r>
    <n v="1099"/>
    <s v="2025-04-04"/>
    <x v="1"/>
    <x v="2"/>
    <x v="3"/>
    <n v="1894"/>
    <n v="8"/>
    <n v="252.74"/>
  </r>
  <r>
    <n v="1100"/>
    <s v="2025-06-11"/>
    <x v="3"/>
    <x v="1"/>
    <x v="1"/>
    <n v="3802"/>
    <n v="3"/>
    <n v="1042.61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2BE22-14E9-4097-A464-61BA20C501BD}" name="PivotTable2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4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387C4-1C52-4F10-9C28-75F104751B9A}" name="PivotTable3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8"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7D530-3784-4911-803C-2373CC767BC7}" name="PivotTable4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7">
        <item x="5"/>
        <item x="0"/>
        <item x="4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workbookViewId="0">
      <selection sqref="A1:H1"/>
    </sheetView>
  </sheetViews>
  <sheetFormatPr defaultRowHeight="15"/>
  <cols>
    <col min="1" max="2" width="12.85546875" customWidth="1"/>
    <col min="4" max="4" width="16.85546875" customWidth="1"/>
    <col min="5" max="5" width="12.140625" customWidth="1"/>
  </cols>
  <sheetData>
    <row r="1" spans="1:8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>
      <c r="A2" s="13">
        <v>1001</v>
      </c>
      <c r="B2" s="7" t="s">
        <v>8</v>
      </c>
      <c r="C2" s="7" t="s">
        <v>9</v>
      </c>
      <c r="D2" s="7" t="s">
        <v>10</v>
      </c>
      <c r="E2" s="7" t="s">
        <v>11</v>
      </c>
      <c r="F2" s="7">
        <v>787</v>
      </c>
      <c r="G2" s="7">
        <v>6</v>
      </c>
      <c r="H2" s="14">
        <v>220.65</v>
      </c>
    </row>
    <row r="3" spans="1:8">
      <c r="A3" s="13">
        <v>1002</v>
      </c>
      <c r="B3" s="7" t="s">
        <v>12</v>
      </c>
      <c r="C3" s="7" t="s">
        <v>13</v>
      </c>
      <c r="D3" s="7" t="s">
        <v>14</v>
      </c>
      <c r="E3" s="7" t="s">
        <v>15</v>
      </c>
      <c r="F3" s="7">
        <v>614</v>
      </c>
      <c r="G3" s="7">
        <v>10</v>
      </c>
      <c r="H3" s="14">
        <v>100.61</v>
      </c>
    </row>
    <row r="4" spans="1:8">
      <c r="A4" s="13">
        <v>1003</v>
      </c>
      <c r="B4" s="7" t="s">
        <v>16</v>
      </c>
      <c r="C4" s="7" t="s">
        <v>17</v>
      </c>
      <c r="D4" s="7" t="s">
        <v>14</v>
      </c>
      <c r="E4" s="7" t="s">
        <v>15</v>
      </c>
      <c r="F4" s="7">
        <v>2198</v>
      </c>
      <c r="G4" s="7">
        <v>7</v>
      </c>
      <c r="H4" s="14">
        <v>605.09</v>
      </c>
    </row>
    <row r="5" spans="1:8">
      <c r="A5" s="13">
        <v>1004</v>
      </c>
      <c r="B5" s="7" t="s">
        <v>18</v>
      </c>
      <c r="C5" s="7" t="s">
        <v>17</v>
      </c>
      <c r="D5" s="7" t="s">
        <v>14</v>
      </c>
      <c r="E5" s="7" t="s">
        <v>15</v>
      </c>
      <c r="F5" s="7">
        <v>509</v>
      </c>
      <c r="G5" s="7">
        <v>6</v>
      </c>
      <c r="H5" s="14">
        <v>134.6</v>
      </c>
    </row>
    <row r="6" spans="1:8">
      <c r="A6" s="13">
        <v>1005</v>
      </c>
      <c r="B6" s="7" t="s">
        <v>19</v>
      </c>
      <c r="C6" s="7" t="s">
        <v>13</v>
      </c>
      <c r="D6" s="7" t="s">
        <v>14</v>
      </c>
      <c r="E6" s="7" t="s">
        <v>15</v>
      </c>
      <c r="F6" s="7">
        <v>3138</v>
      </c>
      <c r="G6" s="7">
        <v>5</v>
      </c>
      <c r="H6" s="14">
        <v>528.44000000000005</v>
      </c>
    </row>
    <row r="7" spans="1:8">
      <c r="A7" s="13">
        <v>1006</v>
      </c>
      <c r="B7" s="7" t="s">
        <v>20</v>
      </c>
      <c r="C7" s="7" t="s">
        <v>21</v>
      </c>
      <c r="D7" s="7" t="s">
        <v>14</v>
      </c>
      <c r="E7" s="7" t="s">
        <v>22</v>
      </c>
      <c r="F7" s="7">
        <v>1298</v>
      </c>
      <c r="G7" s="7">
        <v>7</v>
      </c>
      <c r="H7" s="14">
        <v>167.14</v>
      </c>
    </row>
    <row r="8" spans="1:8">
      <c r="A8" s="13">
        <v>1007</v>
      </c>
      <c r="B8" s="7" t="s">
        <v>23</v>
      </c>
      <c r="C8" s="7" t="s">
        <v>9</v>
      </c>
      <c r="D8" s="7" t="s">
        <v>24</v>
      </c>
      <c r="E8" s="7" t="s">
        <v>25</v>
      </c>
      <c r="F8" s="7">
        <v>1284</v>
      </c>
      <c r="G8" s="7">
        <v>4</v>
      </c>
      <c r="H8" s="14">
        <v>247.01</v>
      </c>
    </row>
    <row r="9" spans="1:8">
      <c r="A9" s="13">
        <v>1008</v>
      </c>
      <c r="B9" s="7" t="s">
        <v>26</v>
      </c>
      <c r="C9" s="7" t="s">
        <v>17</v>
      </c>
      <c r="D9" s="7" t="s">
        <v>10</v>
      </c>
      <c r="E9" s="7" t="s">
        <v>11</v>
      </c>
      <c r="F9" s="7">
        <v>4092</v>
      </c>
      <c r="G9" s="7">
        <v>2</v>
      </c>
      <c r="H9" s="14">
        <v>928.58</v>
      </c>
    </row>
    <row r="10" spans="1:8">
      <c r="A10" s="13">
        <v>1009</v>
      </c>
      <c r="B10" s="7" t="s">
        <v>27</v>
      </c>
      <c r="C10" s="7" t="s">
        <v>13</v>
      </c>
      <c r="D10" s="7" t="s">
        <v>10</v>
      </c>
      <c r="E10" s="7" t="s">
        <v>28</v>
      </c>
      <c r="F10" s="7">
        <v>3749</v>
      </c>
      <c r="G10" s="7">
        <v>5</v>
      </c>
      <c r="H10" s="14">
        <v>748.62</v>
      </c>
    </row>
    <row r="11" spans="1:8">
      <c r="A11" s="13">
        <v>1010</v>
      </c>
      <c r="B11" s="7" t="s">
        <v>29</v>
      </c>
      <c r="C11" s="7" t="s">
        <v>21</v>
      </c>
      <c r="D11" s="7" t="s">
        <v>24</v>
      </c>
      <c r="E11" s="7" t="s">
        <v>25</v>
      </c>
      <c r="F11" s="7">
        <v>3214</v>
      </c>
      <c r="G11" s="7">
        <v>9</v>
      </c>
      <c r="H11" s="14">
        <v>301.02999999999997</v>
      </c>
    </row>
    <row r="12" spans="1:8">
      <c r="A12" s="13">
        <v>1011</v>
      </c>
      <c r="B12" s="7" t="s">
        <v>30</v>
      </c>
      <c r="C12" s="7" t="s">
        <v>13</v>
      </c>
      <c r="D12" s="7" t="s">
        <v>24</v>
      </c>
      <c r="E12" s="7" t="s">
        <v>25</v>
      </c>
      <c r="F12" s="7">
        <v>3382</v>
      </c>
      <c r="G12" s="7">
        <v>10</v>
      </c>
      <c r="H12" s="14">
        <v>429.32</v>
      </c>
    </row>
    <row r="13" spans="1:8">
      <c r="A13" s="13">
        <v>1012</v>
      </c>
      <c r="B13" s="7" t="s">
        <v>31</v>
      </c>
      <c r="C13" s="7" t="s">
        <v>17</v>
      </c>
      <c r="D13" s="7" t="s">
        <v>14</v>
      </c>
      <c r="E13" s="7" t="s">
        <v>15</v>
      </c>
      <c r="F13" s="7">
        <v>3797</v>
      </c>
      <c r="G13" s="7">
        <v>3</v>
      </c>
      <c r="H13" s="14">
        <v>803.17</v>
      </c>
    </row>
    <row r="14" spans="1:8">
      <c r="A14" s="13">
        <v>1013</v>
      </c>
      <c r="B14" s="7" t="s">
        <v>32</v>
      </c>
      <c r="C14" s="7" t="s">
        <v>17</v>
      </c>
      <c r="D14" s="7" t="s">
        <v>10</v>
      </c>
      <c r="E14" s="7" t="s">
        <v>28</v>
      </c>
      <c r="F14" s="7">
        <v>282</v>
      </c>
      <c r="G14" s="7">
        <v>3</v>
      </c>
      <c r="H14" s="14">
        <v>70.97</v>
      </c>
    </row>
    <row r="15" spans="1:8">
      <c r="A15" s="13">
        <v>1014</v>
      </c>
      <c r="B15" s="7" t="s">
        <v>33</v>
      </c>
      <c r="C15" s="7" t="s">
        <v>17</v>
      </c>
      <c r="D15" s="7" t="s">
        <v>10</v>
      </c>
      <c r="E15" s="7" t="s">
        <v>28</v>
      </c>
      <c r="F15" s="7">
        <v>904</v>
      </c>
      <c r="G15" s="7">
        <v>3</v>
      </c>
      <c r="H15" s="14">
        <v>180.78</v>
      </c>
    </row>
    <row r="16" spans="1:8">
      <c r="A16" s="13">
        <v>1015</v>
      </c>
      <c r="B16" s="7" t="s">
        <v>34</v>
      </c>
      <c r="C16" s="7" t="s">
        <v>17</v>
      </c>
      <c r="D16" s="7" t="s">
        <v>14</v>
      </c>
      <c r="E16" s="7" t="s">
        <v>22</v>
      </c>
      <c r="F16" s="7">
        <v>4647</v>
      </c>
      <c r="G16" s="7">
        <v>8</v>
      </c>
      <c r="H16" s="14">
        <v>1028.5899999999999</v>
      </c>
    </row>
    <row r="17" spans="1:8">
      <c r="A17" s="13">
        <v>1016</v>
      </c>
      <c r="B17" s="7" t="s">
        <v>35</v>
      </c>
      <c r="C17" s="7" t="s">
        <v>9</v>
      </c>
      <c r="D17" s="7" t="s">
        <v>14</v>
      </c>
      <c r="E17" s="7" t="s">
        <v>22</v>
      </c>
      <c r="F17" s="7">
        <v>3476</v>
      </c>
      <c r="G17" s="7">
        <v>5</v>
      </c>
      <c r="H17" s="14">
        <v>412.86</v>
      </c>
    </row>
    <row r="18" spans="1:8">
      <c r="A18" s="13">
        <v>1017</v>
      </c>
      <c r="B18" s="7" t="s">
        <v>36</v>
      </c>
      <c r="C18" s="7" t="s">
        <v>17</v>
      </c>
      <c r="D18" s="7" t="s">
        <v>24</v>
      </c>
      <c r="E18" s="7" t="s">
        <v>25</v>
      </c>
      <c r="F18" s="7">
        <v>2830</v>
      </c>
      <c r="G18" s="7">
        <v>3</v>
      </c>
      <c r="H18" s="14">
        <v>335.55</v>
      </c>
    </row>
    <row r="19" spans="1:8">
      <c r="A19" s="13">
        <v>1018</v>
      </c>
      <c r="B19" s="7" t="s">
        <v>37</v>
      </c>
      <c r="C19" s="7" t="s">
        <v>9</v>
      </c>
      <c r="D19" s="7" t="s">
        <v>24</v>
      </c>
      <c r="E19" s="7" t="s">
        <v>38</v>
      </c>
      <c r="F19" s="7">
        <v>1681</v>
      </c>
      <c r="G19" s="7">
        <v>5</v>
      </c>
      <c r="H19" s="14">
        <v>108.49</v>
      </c>
    </row>
    <row r="20" spans="1:8">
      <c r="A20" s="13">
        <v>1019</v>
      </c>
      <c r="B20" s="7" t="s">
        <v>39</v>
      </c>
      <c r="C20" s="7" t="s">
        <v>13</v>
      </c>
      <c r="D20" s="7" t="s">
        <v>14</v>
      </c>
      <c r="E20" s="7" t="s">
        <v>15</v>
      </c>
      <c r="F20" s="7">
        <v>1789</v>
      </c>
      <c r="G20" s="7">
        <v>7</v>
      </c>
      <c r="H20" s="14">
        <v>458.62</v>
      </c>
    </row>
    <row r="21" spans="1:8">
      <c r="A21" s="13">
        <v>1020</v>
      </c>
      <c r="B21" s="7" t="s">
        <v>40</v>
      </c>
      <c r="C21" s="7" t="s">
        <v>9</v>
      </c>
      <c r="D21" s="7" t="s">
        <v>14</v>
      </c>
      <c r="E21" s="7" t="s">
        <v>22</v>
      </c>
      <c r="F21" s="7">
        <v>2444</v>
      </c>
      <c r="G21" s="7">
        <v>10</v>
      </c>
      <c r="H21" s="14">
        <v>666.56</v>
      </c>
    </row>
    <row r="22" spans="1:8">
      <c r="A22" s="13">
        <v>1021</v>
      </c>
      <c r="B22" s="7" t="s">
        <v>41</v>
      </c>
      <c r="C22" s="7" t="s">
        <v>9</v>
      </c>
      <c r="D22" s="7" t="s">
        <v>14</v>
      </c>
      <c r="E22" s="7" t="s">
        <v>22</v>
      </c>
      <c r="F22" s="7">
        <v>3737</v>
      </c>
      <c r="G22" s="7">
        <v>1</v>
      </c>
      <c r="H22" s="14">
        <v>489.06</v>
      </c>
    </row>
    <row r="23" spans="1:8">
      <c r="A23" s="13">
        <v>1022</v>
      </c>
      <c r="B23" s="7" t="s">
        <v>42</v>
      </c>
      <c r="C23" s="7" t="s">
        <v>9</v>
      </c>
      <c r="D23" s="7" t="s">
        <v>10</v>
      </c>
      <c r="E23" s="7" t="s">
        <v>28</v>
      </c>
      <c r="F23" s="7">
        <v>4170</v>
      </c>
      <c r="G23" s="7">
        <v>1</v>
      </c>
      <c r="H23" s="14">
        <v>731.54</v>
      </c>
    </row>
    <row r="24" spans="1:8">
      <c r="A24" s="13">
        <v>1023</v>
      </c>
      <c r="B24" s="7" t="s">
        <v>43</v>
      </c>
      <c r="C24" s="7" t="s">
        <v>13</v>
      </c>
      <c r="D24" s="7" t="s">
        <v>14</v>
      </c>
      <c r="E24" s="7" t="s">
        <v>15</v>
      </c>
      <c r="F24" s="7">
        <v>1578</v>
      </c>
      <c r="G24" s="7">
        <v>1</v>
      </c>
      <c r="H24" s="14">
        <v>409.52</v>
      </c>
    </row>
    <row r="25" spans="1:8">
      <c r="A25" s="13">
        <v>1024</v>
      </c>
      <c r="B25" s="7" t="s">
        <v>40</v>
      </c>
      <c r="C25" s="7" t="s">
        <v>21</v>
      </c>
      <c r="D25" s="7" t="s">
        <v>10</v>
      </c>
      <c r="E25" s="7" t="s">
        <v>11</v>
      </c>
      <c r="F25" s="7">
        <v>4759</v>
      </c>
      <c r="G25" s="7">
        <v>1</v>
      </c>
      <c r="H25" s="14">
        <v>813.6</v>
      </c>
    </row>
    <row r="26" spans="1:8">
      <c r="A26" s="13">
        <v>1025</v>
      </c>
      <c r="B26" s="7" t="s">
        <v>44</v>
      </c>
      <c r="C26" s="7" t="s">
        <v>17</v>
      </c>
      <c r="D26" s="7" t="s">
        <v>14</v>
      </c>
      <c r="E26" s="7" t="s">
        <v>15</v>
      </c>
      <c r="F26" s="7">
        <v>2207</v>
      </c>
      <c r="G26" s="7">
        <v>9</v>
      </c>
      <c r="H26" s="14">
        <v>389.72</v>
      </c>
    </row>
    <row r="27" spans="1:8">
      <c r="A27" s="13">
        <v>1026</v>
      </c>
      <c r="B27" s="7" t="s">
        <v>45</v>
      </c>
      <c r="C27" s="7" t="s">
        <v>9</v>
      </c>
      <c r="D27" s="7" t="s">
        <v>10</v>
      </c>
      <c r="E27" s="7" t="s">
        <v>28</v>
      </c>
      <c r="F27" s="7">
        <v>4545</v>
      </c>
      <c r="G27" s="7">
        <v>7</v>
      </c>
      <c r="H27" s="14">
        <v>337.39</v>
      </c>
    </row>
    <row r="28" spans="1:8">
      <c r="A28" s="13">
        <v>1027</v>
      </c>
      <c r="B28" s="7" t="s">
        <v>46</v>
      </c>
      <c r="C28" s="7" t="s">
        <v>13</v>
      </c>
      <c r="D28" s="7" t="s">
        <v>14</v>
      </c>
      <c r="E28" s="7" t="s">
        <v>15</v>
      </c>
      <c r="F28" s="7">
        <v>4646</v>
      </c>
      <c r="G28" s="7">
        <v>3</v>
      </c>
      <c r="H28" s="14">
        <v>1090.8</v>
      </c>
    </row>
    <row r="29" spans="1:8">
      <c r="A29" s="13">
        <v>1028</v>
      </c>
      <c r="B29" s="7" t="s">
        <v>47</v>
      </c>
      <c r="C29" s="7" t="s">
        <v>13</v>
      </c>
      <c r="D29" s="7" t="s">
        <v>24</v>
      </c>
      <c r="E29" s="7" t="s">
        <v>25</v>
      </c>
      <c r="F29" s="7">
        <v>3285</v>
      </c>
      <c r="G29" s="7">
        <v>6</v>
      </c>
      <c r="H29" s="14">
        <v>819.85</v>
      </c>
    </row>
    <row r="30" spans="1:8">
      <c r="A30" s="13">
        <v>1029</v>
      </c>
      <c r="B30" s="7" t="s">
        <v>48</v>
      </c>
      <c r="C30" s="7" t="s">
        <v>17</v>
      </c>
      <c r="D30" s="7" t="s">
        <v>14</v>
      </c>
      <c r="E30" s="7" t="s">
        <v>22</v>
      </c>
      <c r="F30" s="7">
        <v>1084</v>
      </c>
      <c r="G30" s="7">
        <v>8</v>
      </c>
      <c r="H30" s="14">
        <v>167.7</v>
      </c>
    </row>
    <row r="31" spans="1:8">
      <c r="A31" s="13">
        <v>1030</v>
      </c>
      <c r="B31" s="7" t="s">
        <v>49</v>
      </c>
      <c r="C31" s="7" t="s">
        <v>21</v>
      </c>
      <c r="D31" s="7" t="s">
        <v>24</v>
      </c>
      <c r="E31" s="7" t="s">
        <v>38</v>
      </c>
      <c r="F31" s="7">
        <v>3255</v>
      </c>
      <c r="G31" s="7">
        <v>2</v>
      </c>
      <c r="H31" s="14">
        <v>242.68</v>
      </c>
    </row>
    <row r="32" spans="1:8">
      <c r="A32" s="13">
        <v>1031</v>
      </c>
      <c r="B32" s="7" t="s">
        <v>50</v>
      </c>
      <c r="C32" s="7" t="s">
        <v>13</v>
      </c>
      <c r="D32" s="7" t="s">
        <v>24</v>
      </c>
      <c r="E32" s="7" t="s">
        <v>25</v>
      </c>
      <c r="F32" s="7">
        <v>2669</v>
      </c>
      <c r="G32" s="7">
        <v>5</v>
      </c>
      <c r="H32" s="14">
        <v>146.43</v>
      </c>
    </row>
    <row r="33" spans="1:8">
      <c r="A33" s="13">
        <v>1032</v>
      </c>
      <c r="B33" s="7" t="s">
        <v>51</v>
      </c>
      <c r="C33" s="7" t="s">
        <v>21</v>
      </c>
      <c r="D33" s="7" t="s">
        <v>24</v>
      </c>
      <c r="E33" s="7" t="s">
        <v>25</v>
      </c>
      <c r="F33" s="7">
        <v>894</v>
      </c>
      <c r="G33" s="7">
        <v>9</v>
      </c>
      <c r="H33" s="14">
        <v>215.51</v>
      </c>
    </row>
    <row r="34" spans="1:8">
      <c r="A34" s="13">
        <v>1033</v>
      </c>
      <c r="B34" s="7" t="s">
        <v>52</v>
      </c>
      <c r="C34" s="7" t="s">
        <v>9</v>
      </c>
      <c r="D34" s="7" t="s">
        <v>10</v>
      </c>
      <c r="E34" s="7" t="s">
        <v>28</v>
      </c>
      <c r="F34" s="7">
        <v>3366</v>
      </c>
      <c r="G34" s="7">
        <v>6</v>
      </c>
      <c r="H34" s="14">
        <v>917.67</v>
      </c>
    </row>
    <row r="35" spans="1:8">
      <c r="A35" s="13">
        <v>1034</v>
      </c>
      <c r="B35" s="7" t="s">
        <v>49</v>
      </c>
      <c r="C35" s="7" t="s">
        <v>17</v>
      </c>
      <c r="D35" s="7" t="s">
        <v>14</v>
      </c>
      <c r="E35" s="7" t="s">
        <v>15</v>
      </c>
      <c r="F35" s="7">
        <v>2034</v>
      </c>
      <c r="G35" s="7">
        <v>2</v>
      </c>
      <c r="H35" s="14">
        <v>164.87</v>
      </c>
    </row>
    <row r="36" spans="1:8">
      <c r="A36" s="13">
        <v>1035</v>
      </c>
      <c r="B36" s="7" t="s">
        <v>31</v>
      </c>
      <c r="C36" s="7" t="s">
        <v>13</v>
      </c>
      <c r="D36" s="7" t="s">
        <v>24</v>
      </c>
      <c r="E36" s="7" t="s">
        <v>38</v>
      </c>
      <c r="F36" s="7">
        <v>2485</v>
      </c>
      <c r="G36" s="7">
        <v>2</v>
      </c>
      <c r="H36" s="14">
        <v>712.69</v>
      </c>
    </row>
    <row r="37" spans="1:8">
      <c r="A37" s="13">
        <v>1036</v>
      </c>
      <c r="B37" s="7" t="s">
        <v>53</v>
      </c>
      <c r="C37" s="7" t="s">
        <v>21</v>
      </c>
      <c r="D37" s="7" t="s">
        <v>24</v>
      </c>
      <c r="E37" s="7" t="s">
        <v>38</v>
      </c>
      <c r="F37" s="7">
        <v>2587</v>
      </c>
      <c r="G37" s="7">
        <v>6</v>
      </c>
      <c r="H37" s="14">
        <v>689.97</v>
      </c>
    </row>
    <row r="38" spans="1:8">
      <c r="A38" s="13">
        <v>1037</v>
      </c>
      <c r="B38" s="7" t="s">
        <v>54</v>
      </c>
      <c r="C38" s="7" t="s">
        <v>13</v>
      </c>
      <c r="D38" s="7" t="s">
        <v>24</v>
      </c>
      <c r="E38" s="7" t="s">
        <v>25</v>
      </c>
      <c r="F38" s="7">
        <v>1230</v>
      </c>
      <c r="G38" s="7">
        <v>3</v>
      </c>
      <c r="H38" s="14">
        <v>68.19</v>
      </c>
    </row>
    <row r="39" spans="1:8">
      <c r="A39" s="13">
        <v>1038</v>
      </c>
      <c r="B39" s="7" t="s">
        <v>55</v>
      </c>
      <c r="C39" s="7" t="s">
        <v>21</v>
      </c>
      <c r="D39" s="7" t="s">
        <v>14</v>
      </c>
      <c r="E39" s="7" t="s">
        <v>15</v>
      </c>
      <c r="F39" s="7">
        <v>4090</v>
      </c>
      <c r="G39" s="7">
        <v>5</v>
      </c>
      <c r="H39" s="14">
        <v>294.38</v>
      </c>
    </row>
    <row r="40" spans="1:8">
      <c r="A40" s="13">
        <v>1039</v>
      </c>
      <c r="B40" s="7" t="s">
        <v>45</v>
      </c>
      <c r="C40" s="7" t="s">
        <v>13</v>
      </c>
      <c r="D40" s="7" t="s">
        <v>14</v>
      </c>
      <c r="E40" s="7" t="s">
        <v>15</v>
      </c>
      <c r="F40" s="7">
        <v>1196</v>
      </c>
      <c r="G40" s="7">
        <v>6</v>
      </c>
      <c r="H40" s="14">
        <v>126.47</v>
      </c>
    </row>
    <row r="41" spans="1:8">
      <c r="A41" s="13">
        <v>1040</v>
      </c>
      <c r="B41" s="7" t="s">
        <v>56</v>
      </c>
      <c r="C41" s="7" t="s">
        <v>17</v>
      </c>
      <c r="D41" s="7" t="s">
        <v>10</v>
      </c>
      <c r="E41" s="7" t="s">
        <v>11</v>
      </c>
      <c r="F41" s="7">
        <v>600</v>
      </c>
      <c r="G41" s="7">
        <v>8</v>
      </c>
      <c r="H41" s="14">
        <v>125.01</v>
      </c>
    </row>
    <row r="42" spans="1:8">
      <c r="A42" s="13">
        <v>1041</v>
      </c>
      <c r="B42" s="7" t="s">
        <v>57</v>
      </c>
      <c r="C42" s="7" t="s">
        <v>17</v>
      </c>
      <c r="D42" s="7" t="s">
        <v>24</v>
      </c>
      <c r="E42" s="7" t="s">
        <v>25</v>
      </c>
      <c r="F42" s="7">
        <v>2685</v>
      </c>
      <c r="G42" s="7">
        <v>6</v>
      </c>
      <c r="H42" s="14">
        <v>574.61</v>
      </c>
    </row>
    <row r="43" spans="1:8">
      <c r="A43" s="13">
        <v>1042</v>
      </c>
      <c r="B43" s="7" t="s">
        <v>49</v>
      </c>
      <c r="C43" s="7" t="s">
        <v>17</v>
      </c>
      <c r="D43" s="7" t="s">
        <v>10</v>
      </c>
      <c r="E43" s="7" t="s">
        <v>11</v>
      </c>
      <c r="F43" s="7">
        <v>2755</v>
      </c>
      <c r="G43" s="7">
        <v>6</v>
      </c>
      <c r="H43" s="14">
        <v>671.12</v>
      </c>
    </row>
    <row r="44" spans="1:8">
      <c r="A44" s="13">
        <v>1043</v>
      </c>
      <c r="B44" s="7" t="s">
        <v>55</v>
      </c>
      <c r="C44" s="7" t="s">
        <v>9</v>
      </c>
      <c r="D44" s="7" t="s">
        <v>24</v>
      </c>
      <c r="E44" s="7" t="s">
        <v>38</v>
      </c>
      <c r="F44" s="7">
        <v>790</v>
      </c>
      <c r="G44" s="7">
        <v>10</v>
      </c>
      <c r="H44" s="14">
        <v>75.400000000000006</v>
      </c>
    </row>
    <row r="45" spans="1:8">
      <c r="A45" s="13">
        <v>1044</v>
      </c>
      <c r="B45" s="7" t="s">
        <v>58</v>
      </c>
      <c r="C45" s="7" t="s">
        <v>17</v>
      </c>
      <c r="D45" s="7" t="s">
        <v>14</v>
      </c>
      <c r="E45" s="7" t="s">
        <v>15</v>
      </c>
      <c r="F45" s="7">
        <v>2944</v>
      </c>
      <c r="G45" s="7">
        <v>10</v>
      </c>
      <c r="H45" s="14">
        <v>668.13</v>
      </c>
    </row>
    <row r="46" spans="1:8">
      <c r="A46" s="13">
        <v>1045</v>
      </c>
      <c r="B46" s="7" t="s">
        <v>59</v>
      </c>
      <c r="C46" s="7" t="s">
        <v>13</v>
      </c>
      <c r="D46" s="7" t="s">
        <v>10</v>
      </c>
      <c r="E46" s="7" t="s">
        <v>28</v>
      </c>
      <c r="F46" s="7">
        <v>318</v>
      </c>
      <c r="G46" s="7">
        <v>6</v>
      </c>
      <c r="H46" s="14">
        <v>76.19</v>
      </c>
    </row>
    <row r="47" spans="1:8">
      <c r="A47" s="13">
        <v>1046</v>
      </c>
      <c r="B47" s="7" t="s">
        <v>60</v>
      </c>
      <c r="C47" s="7" t="s">
        <v>13</v>
      </c>
      <c r="D47" s="7" t="s">
        <v>10</v>
      </c>
      <c r="E47" s="7" t="s">
        <v>28</v>
      </c>
      <c r="F47" s="7">
        <v>588</v>
      </c>
      <c r="G47" s="7">
        <v>9</v>
      </c>
      <c r="H47" s="14">
        <v>58.63</v>
      </c>
    </row>
    <row r="48" spans="1:8">
      <c r="A48" s="13">
        <v>1047</v>
      </c>
      <c r="B48" s="7" t="s">
        <v>61</v>
      </c>
      <c r="C48" s="7" t="s">
        <v>21</v>
      </c>
      <c r="D48" s="7" t="s">
        <v>10</v>
      </c>
      <c r="E48" s="7" t="s">
        <v>28</v>
      </c>
      <c r="F48" s="7">
        <v>1343</v>
      </c>
      <c r="G48" s="7">
        <v>10</v>
      </c>
      <c r="H48" s="14">
        <v>183.36</v>
      </c>
    </row>
    <row r="49" spans="1:8">
      <c r="A49" s="13">
        <v>1048</v>
      </c>
      <c r="B49" s="7" t="s">
        <v>62</v>
      </c>
      <c r="C49" s="7" t="s">
        <v>21</v>
      </c>
      <c r="D49" s="7" t="s">
        <v>24</v>
      </c>
      <c r="E49" s="7" t="s">
        <v>25</v>
      </c>
      <c r="F49" s="7">
        <v>2063</v>
      </c>
      <c r="G49" s="7">
        <v>4</v>
      </c>
      <c r="H49" s="14">
        <v>555.78</v>
      </c>
    </row>
    <row r="50" spans="1:8">
      <c r="A50" s="13">
        <v>1049</v>
      </c>
      <c r="B50" s="7" t="s">
        <v>8</v>
      </c>
      <c r="C50" s="7" t="s">
        <v>9</v>
      </c>
      <c r="D50" s="7" t="s">
        <v>24</v>
      </c>
      <c r="E50" s="7" t="s">
        <v>25</v>
      </c>
      <c r="F50" s="7">
        <v>3459</v>
      </c>
      <c r="G50" s="7">
        <v>6</v>
      </c>
      <c r="H50" s="14">
        <v>934.14</v>
      </c>
    </row>
    <row r="51" spans="1:8">
      <c r="A51" s="13">
        <v>1050</v>
      </c>
      <c r="B51" s="7" t="s">
        <v>63</v>
      </c>
      <c r="C51" s="7" t="s">
        <v>21</v>
      </c>
      <c r="D51" s="7" t="s">
        <v>10</v>
      </c>
      <c r="E51" s="7" t="s">
        <v>28</v>
      </c>
      <c r="F51" s="7">
        <v>2472</v>
      </c>
      <c r="G51" s="7">
        <v>7</v>
      </c>
      <c r="H51" s="14">
        <v>396.91</v>
      </c>
    </row>
    <row r="52" spans="1:8">
      <c r="A52" s="13">
        <v>1051</v>
      </c>
      <c r="B52" s="7" t="s">
        <v>64</v>
      </c>
      <c r="C52" s="7" t="s">
        <v>13</v>
      </c>
      <c r="D52" s="7" t="s">
        <v>14</v>
      </c>
      <c r="E52" s="7" t="s">
        <v>15</v>
      </c>
      <c r="F52" s="7">
        <v>2201</v>
      </c>
      <c r="G52" s="7">
        <v>6</v>
      </c>
      <c r="H52" s="14">
        <v>411.51</v>
      </c>
    </row>
    <row r="53" spans="1:8">
      <c r="A53" s="13">
        <v>1052</v>
      </c>
      <c r="B53" s="7" t="s">
        <v>65</v>
      </c>
      <c r="C53" s="7" t="s">
        <v>21</v>
      </c>
      <c r="D53" s="7" t="s">
        <v>10</v>
      </c>
      <c r="E53" s="7" t="s">
        <v>11</v>
      </c>
      <c r="F53" s="7">
        <v>3800</v>
      </c>
      <c r="G53" s="7">
        <v>2</v>
      </c>
      <c r="H53" s="14">
        <v>665.88</v>
      </c>
    </row>
    <row r="54" spans="1:8">
      <c r="A54" s="13">
        <v>1053</v>
      </c>
      <c r="B54" s="7" t="s">
        <v>35</v>
      </c>
      <c r="C54" s="7" t="s">
        <v>21</v>
      </c>
      <c r="D54" s="7" t="s">
        <v>24</v>
      </c>
      <c r="E54" s="7" t="s">
        <v>25</v>
      </c>
      <c r="F54" s="7">
        <v>4559</v>
      </c>
      <c r="G54" s="7">
        <v>6</v>
      </c>
      <c r="H54" s="14">
        <v>324.02999999999997</v>
      </c>
    </row>
    <row r="55" spans="1:8">
      <c r="A55" s="13">
        <v>1054</v>
      </c>
      <c r="B55" s="7" t="s">
        <v>66</v>
      </c>
      <c r="C55" s="7" t="s">
        <v>21</v>
      </c>
      <c r="D55" s="7" t="s">
        <v>24</v>
      </c>
      <c r="E55" s="7" t="s">
        <v>38</v>
      </c>
      <c r="F55" s="7">
        <v>1475</v>
      </c>
      <c r="G55" s="7">
        <v>7</v>
      </c>
      <c r="H55" s="14">
        <v>154.68</v>
      </c>
    </row>
    <row r="56" spans="1:8">
      <c r="A56" s="13">
        <v>1055</v>
      </c>
      <c r="B56" s="7" t="s">
        <v>19</v>
      </c>
      <c r="C56" s="7" t="s">
        <v>17</v>
      </c>
      <c r="D56" s="7" t="s">
        <v>14</v>
      </c>
      <c r="E56" s="7" t="s">
        <v>22</v>
      </c>
      <c r="F56" s="7">
        <v>1917</v>
      </c>
      <c r="G56" s="7">
        <v>2</v>
      </c>
      <c r="H56" s="14">
        <v>434.62</v>
      </c>
    </row>
    <row r="57" spans="1:8">
      <c r="A57" s="13">
        <v>1056</v>
      </c>
      <c r="B57" s="7" t="s">
        <v>67</v>
      </c>
      <c r="C57" s="7" t="s">
        <v>17</v>
      </c>
      <c r="D57" s="7" t="s">
        <v>10</v>
      </c>
      <c r="E57" s="7" t="s">
        <v>11</v>
      </c>
      <c r="F57" s="7">
        <v>2996</v>
      </c>
      <c r="G57" s="7">
        <v>5</v>
      </c>
      <c r="H57" s="14">
        <v>361.08</v>
      </c>
    </row>
    <row r="58" spans="1:8">
      <c r="A58" s="13">
        <v>1057</v>
      </c>
      <c r="B58" s="7" t="s">
        <v>68</v>
      </c>
      <c r="C58" s="7" t="s">
        <v>17</v>
      </c>
      <c r="D58" s="7" t="s">
        <v>10</v>
      </c>
      <c r="E58" s="7" t="s">
        <v>28</v>
      </c>
      <c r="F58" s="7">
        <v>2007</v>
      </c>
      <c r="G58" s="7">
        <v>5</v>
      </c>
      <c r="H58" s="14">
        <v>312.70999999999998</v>
      </c>
    </row>
    <row r="59" spans="1:8">
      <c r="A59" s="13">
        <v>1058</v>
      </c>
      <c r="B59" s="7" t="s">
        <v>69</v>
      </c>
      <c r="C59" s="7" t="s">
        <v>13</v>
      </c>
      <c r="D59" s="7" t="s">
        <v>24</v>
      </c>
      <c r="E59" s="7" t="s">
        <v>38</v>
      </c>
      <c r="F59" s="7">
        <v>2673</v>
      </c>
      <c r="G59" s="7">
        <v>4</v>
      </c>
      <c r="H59" s="14">
        <v>202.32</v>
      </c>
    </row>
    <row r="60" spans="1:8">
      <c r="A60" s="13">
        <v>1059</v>
      </c>
      <c r="B60" s="7" t="s">
        <v>70</v>
      </c>
      <c r="C60" s="7" t="s">
        <v>13</v>
      </c>
      <c r="D60" s="7" t="s">
        <v>24</v>
      </c>
      <c r="E60" s="7" t="s">
        <v>25</v>
      </c>
      <c r="F60" s="7">
        <v>780</v>
      </c>
      <c r="G60" s="7">
        <v>4</v>
      </c>
      <c r="H60" s="14">
        <v>164.17</v>
      </c>
    </row>
    <row r="61" spans="1:8">
      <c r="A61" s="13">
        <v>1060</v>
      </c>
      <c r="B61" s="7" t="s">
        <v>71</v>
      </c>
      <c r="C61" s="7" t="s">
        <v>13</v>
      </c>
      <c r="D61" s="7" t="s">
        <v>24</v>
      </c>
      <c r="E61" s="7" t="s">
        <v>38</v>
      </c>
      <c r="F61" s="7">
        <v>4936</v>
      </c>
      <c r="G61" s="7">
        <v>9</v>
      </c>
      <c r="H61" s="14">
        <v>247.61</v>
      </c>
    </row>
    <row r="62" spans="1:8">
      <c r="A62" s="13">
        <v>1061</v>
      </c>
      <c r="B62" s="7" t="s">
        <v>72</v>
      </c>
      <c r="C62" s="7" t="s">
        <v>13</v>
      </c>
      <c r="D62" s="7" t="s">
        <v>14</v>
      </c>
      <c r="E62" s="7" t="s">
        <v>15</v>
      </c>
      <c r="F62" s="7">
        <v>899</v>
      </c>
      <c r="G62" s="7">
        <v>8</v>
      </c>
      <c r="H62" s="14">
        <v>68.239999999999995</v>
      </c>
    </row>
    <row r="63" spans="1:8">
      <c r="A63" s="13">
        <v>1062</v>
      </c>
      <c r="B63" s="7" t="s">
        <v>73</v>
      </c>
      <c r="C63" s="7" t="s">
        <v>13</v>
      </c>
      <c r="D63" s="7" t="s">
        <v>14</v>
      </c>
      <c r="E63" s="7" t="s">
        <v>22</v>
      </c>
      <c r="F63" s="7">
        <v>2545</v>
      </c>
      <c r="G63" s="7">
        <v>1</v>
      </c>
      <c r="H63" s="14">
        <v>386.49</v>
      </c>
    </row>
    <row r="64" spans="1:8">
      <c r="A64" s="13">
        <v>1063</v>
      </c>
      <c r="B64" s="7" t="s">
        <v>74</v>
      </c>
      <c r="C64" s="7" t="s">
        <v>17</v>
      </c>
      <c r="D64" s="7" t="s">
        <v>24</v>
      </c>
      <c r="E64" s="7" t="s">
        <v>25</v>
      </c>
      <c r="F64" s="7">
        <v>1569</v>
      </c>
      <c r="G64" s="7">
        <v>1</v>
      </c>
      <c r="H64" s="14">
        <v>226.57</v>
      </c>
    </row>
    <row r="65" spans="1:8">
      <c r="A65" s="13">
        <v>1064</v>
      </c>
      <c r="B65" s="7" t="s">
        <v>39</v>
      </c>
      <c r="C65" s="7" t="s">
        <v>9</v>
      </c>
      <c r="D65" s="7" t="s">
        <v>14</v>
      </c>
      <c r="E65" s="7" t="s">
        <v>22</v>
      </c>
      <c r="F65" s="7">
        <v>1036</v>
      </c>
      <c r="G65" s="7">
        <v>9</v>
      </c>
      <c r="H65" s="14">
        <v>91.41</v>
      </c>
    </row>
    <row r="66" spans="1:8">
      <c r="A66" s="13">
        <v>1065</v>
      </c>
      <c r="B66" s="7" t="s">
        <v>75</v>
      </c>
      <c r="C66" s="7" t="s">
        <v>9</v>
      </c>
      <c r="D66" s="7" t="s">
        <v>24</v>
      </c>
      <c r="E66" s="7" t="s">
        <v>38</v>
      </c>
      <c r="F66" s="7">
        <v>3690</v>
      </c>
      <c r="G66" s="7">
        <v>9</v>
      </c>
      <c r="H66" s="14">
        <v>951.71</v>
      </c>
    </row>
    <row r="67" spans="1:8">
      <c r="A67" s="13">
        <v>1066</v>
      </c>
      <c r="B67" s="7" t="s">
        <v>76</v>
      </c>
      <c r="C67" s="7" t="s">
        <v>17</v>
      </c>
      <c r="D67" s="7" t="s">
        <v>24</v>
      </c>
      <c r="E67" s="7" t="s">
        <v>38</v>
      </c>
      <c r="F67" s="7">
        <v>1964</v>
      </c>
      <c r="G67" s="7">
        <v>9</v>
      </c>
      <c r="H67" s="14">
        <v>287.69</v>
      </c>
    </row>
    <row r="68" spans="1:8">
      <c r="A68" s="13">
        <v>1067</v>
      </c>
      <c r="B68" s="7" t="s">
        <v>77</v>
      </c>
      <c r="C68" s="7" t="s">
        <v>9</v>
      </c>
      <c r="D68" s="7" t="s">
        <v>14</v>
      </c>
      <c r="E68" s="7" t="s">
        <v>22</v>
      </c>
      <c r="F68" s="7">
        <v>2271</v>
      </c>
      <c r="G68" s="7">
        <v>2</v>
      </c>
      <c r="H68" s="14">
        <v>629</v>
      </c>
    </row>
    <row r="69" spans="1:8">
      <c r="A69" s="13">
        <v>1068</v>
      </c>
      <c r="B69" s="7" t="s">
        <v>78</v>
      </c>
      <c r="C69" s="7" t="s">
        <v>13</v>
      </c>
      <c r="D69" s="7" t="s">
        <v>14</v>
      </c>
      <c r="E69" s="7" t="s">
        <v>15</v>
      </c>
      <c r="F69" s="7">
        <v>3480</v>
      </c>
      <c r="G69" s="7">
        <v>4</v>
      </c>
      <c r="H69" s="14">
        <v>677.49</v>
      </c>
    </row>
    <row r="70" spans="1:8">
      <c r="A70" s="13">
        <v>1069</v>
      </c>
      <c r="B70" s="7" t="s">
        <v>79</v>
      </c>
      <c r="C70" s="7" t="s">
        <v>13</v>
      </c>
      <c r="D70" s="7" t="s">
        <v>14</v>
      </c>
      <c r="E70" s="7" t="s">
        <v>22</v>
      </c>
      <c r="F70" s="7">
        <v>4791</v>
      </c>
      <c r="G70" s="7">
        <v>10</v>
      </c>
      <c r="H70" s="14">
        <v>305.39999999999998</v>
      </c>
    </row>
    <row r="71" spans="1:8">
      <c r="A71" s="13">
        <v>1070</v>
      </c>
      <c r="B71" s="7" t="s">
        <v>80</v>
      </c>
      <c r="C71" s="7" t="s">
        <v>9</v>
      </c>
      <c r="D71" s="7" t="s">
        <v>10</v>
      </c>
      <c r="E71" s="7" t="s">
        <v>28</v>
      </c>
      <c r="F71" s="7">
        <v>778</v>
      </c>
      <c r="G71" s="7">
        <v>7</v>
      </c>
      <c r="H71" s="14">
        <v>220.32</v>
      </c>
    </row>
    <row r="72" spans="1:8">
      <c r="A72" s="13">
        <v>1071</v>
      </c>
      <c r="B72" s="7" t="s">
        <v>30</v>
      </c>
      <c r="C72" s="7" t="s">
        <v>13</v>
      </c>
      <c r="D72" s="7" t="s">
        <v>14</v>
      </c>
      <c r="E72" s="7" t="s">
        <v>22</v>
      </c>
      <c r="F72" s="7">
        <v>3867</v>
      </c>
      <c r="G72" s="7">
        <v>3</v>
      </c>
      <c r="H72" s="14">
        <v>847.33</v>
      </c>
    </row>
    <row r="73" spans="1:8">
      <c r="A73" s="13">
        <v>1072</v>
      </c>
      <c r="B73" s="7" t="s">
        <v>81</v>
      </c>
      <c r="C73" s="7" t="s">
        <v>21</v>
      </c>
      <c r="D73" s="7" t="s">
        <v>14</v>
      </c>
      <c r="E73" s="7" t="s">
        <v>22</v>
      </c>
      <c r="F73" s="7">
        <v>1297</v>
      </c>
      <c r="G73" s="7">
        <v>4</v>
      </c>
      <c r="H73" s="14">
        <v>109.69</v>
      </c>
    </row>
    <row r="74" spans="1:8">
      <c r="A74" s="13">
        <v>1073</v>
      </c>
      <c r="B74" s="7" t="s">
        <v>76</v>
      </c>
      <c r="C74" s="7" t="s">
        <v>17</v>
      </c>
      <c r="D74" s="7" t="s">
        <v>14</v>
      </c>
      <c r="E74" s="7" t="s">
        <v>15</v>
      </c>
      <c r="F74" s="7">
        <v>2509</v>
      </c>
      <c r="G74" s="7">
        <v>6</v>
      </c>
      <c r="H74" s="14">
        <v>261.01</v>
      </c>
    </row>
    <row r="75" spans="1:8">
      <c r="A75" s="13">
        <v>1074</v>
      </c>
      <c r="B75" s="7" t="s">
        <v>80</v>
      </c>
      <c r="C75" s="7" t="s">
        <v>9</v>
      </c>
      <c r="D75" s="7" t="s">
        <v>24</v>
      </c>
      <c r="E75" s="7" t="s">
        <v>38</v>
      </c>
      <c r="F75" s="7">
        <v>2341</v>
      </c>
      <c r="G75" s="7">
        <v>3</v>
      </c>
      <c r="H75" s="14">
        <v>628.52</v>
      </c>
    </row>
    <row r="76" spans="1:8">
      <c r="A76" s="13">
        <v>1075</v>
      </c>
      <c r="B76" s="7" t="s">
        <v>56</v>
      </c>
      <c r="C76" s="7" t="s">
        <v>17</v>
      </c>
      <c r="D76" s="7" t="s">
        <v>14</v>
      </c>
      <c r="E76" s="7" t="s">
        <v>15</v>
      </c>
      <c r="F76" s="7">
        <v>4627</v>
      </c>
      <c r="G76" s="7">
        <v>6</v>
      </c>
      <c r="H76" s="14">
        <v>677.28</v>
      </c>
    </row>
    <row r="77" spans="1:8">
      <c r="A77" s="13">
        <v>1076</v>
      </c>
      <c r="B77" s="7" t="s">
        <v>46</v>
      </c>
      <c r="C77" s="7" t="s">
        <v>21</v>
      </c>
      <c r="D77" s="7" t="s">
        <v>10</v>
      </c>
      <c r="E77" s="7" t="s">
        <v>28</v>
      </c>
      <c r="F77" s="7">
        <v>3925</v>
      </c>
      <c r="G77" s="7">
        <v>8</v>
      </c>
      <c r="H77" s="14">
        <v>562.05999999999995</v>
      </c>
    </row>
    <row r="78" spans="1:8">
      <c r="A78" s="13">
        <v>1077</v>
      </c>
      <c r="B78" s="7" t="s">
        <v>82</v>
      </c>
      <c r="C78" s="7" t="s">
        <v>17</v>
      </c>
      <c r="D78" s="7" t="s">
        <v>10</v>
      </c>
      <c r="E78" s="7" t="s">
        <v>28</v>
      </c>
      <c r="F78" s="7">
        <v>3168</v>
      </c>
      <c r="G78" s="7">
        <v>8</v>
      </c>
      <c r="H78" s="14">
        <v>327.64999999999998</v>
      </c>
    </row>
    <row r="79" spans="1:8">
      <c r="A79" s="13">
        <v>1078</v>
      </c>
      <c r="B79" s="7" t="s">
        <v>83</v>
      </c>
      <c r="C79" s="7" t="s">
        <v>9</v>
      </c>
      <c r="D79" s="7" t="s">
        <v>24</v>
      </c>
      <c r="E79" s="7" t="s">
        <v>38</v>
      </c>
      <c r="F79" s="7">
        <v>663</v>
      </c>
      <c r="G79" s="7">
        <v>10</v>
      </c>
      <c r="H79" s="14">
        <v>157.59</v>
      </c>
    </row>
    <row r="80" spans="1:8">
      <c r="A80" s="13">
        <v>1079</v>
      </c>
      <c r="B80" s="7" t="s">
        <v>84</v>
      </c>
      <c r="C80" s="7" t="s">
        <v>9</v>
      </c>
      <c r="D80" s="7" t="s">
        <v>14</v>
      </c>
      <c r="E80" s="7" t="s">
        <v>15</v>
      </c>
      <c r="F80" s="7">
        <v>4996</v>
      </c>
      <c r="G80" s="7">
        <v>4</v>
      </c>
      <c r="H80" s="14">
        <v>527.28</v>
      </c>
    </row>
    <row r="81" spans="1:8">
      <c r="A81" s="13">
        <v>1080</v>
      </c>
      <c r="B81" s="7" t="s">
        <v>69</v>
      </c>
      <c r="C81" s="7" t="s">
        <v>21</v>
      </c>
      <c r="D81" s="7" t="s">
        <v>14</v>
      </c>
      <c r="E81" s="7" t="s">
        <v>15</v>
      </c>
      <c r="F81" s="7">
        <v>749</v>
      </c>
      <c r="G81" s="7">
        <v>5</v>
      </c>
      <c r="H81" s="14">
        <v>45.24</v>
      </c>
    </row>
    <row r="82" spans="1:8">
      <c r="A82" s="13">
        <v>1081</v>
      </c>
      <c r="B82" s="7" t="s">
        <v>33</v>
      </c>
      <c r="C82" s="7" t="s">
        <v>21</v>
      </c>
      <c r="D82" s="7" t="s">
        <v>10</v>
      </c>
      <c r="E82" s="7" t="s">
        <v>11</v>
      </c>
      <c r="F82" s="7">
        <v>3048</v>
      </c>
      <c r="G82" s="7">
        <v>10</v>
      </c>
      <c r="H82" s="14">
        <v>902.42</v>
      </c>
    </row>
    <row r="83" spans="1:8">
      <c r="A83" s="13">
        <v>1082</v>
      </c>
      <c r="B83" s="7" t="s">
        <v>64</v>
      </c>
      <c r="C83" s="7" t="s">
        <v>13</v>
      </c>
      <c r="D83" s="7" t="s">
        <v>10</v>
      </c>
      <c r="E83" s="7" t="s">
        <v>11</v>
      </c>
      <c r="F83" s="7">
        <v>490</v>
      </c>
      <c r="G83" s="7">
        <v>9</v>
      </c>
      <c r="H83" s="14">
        <v>39.74</v>
      </c>
    </row>
    <row r="84" spans="1:8">
      <c r="A84" s="13">
        <v>1083</v>
      </c>
      <c r="B84" s="7" t="s">
        <v>85</v>
      </c>
      <c r="C84" s="7" t="s">
        <v>9</v>
      </c>
      <c r="D84" s="7" t="s">
        <v>14</v>
      </c>
      <c r="E84" s="7" t="s">
        <v>22</v>
      </c>
      <c r="F84" s="7">
        <v>1602</v>
      </c>
      <c r="G84" s="7">
        <v>1</v>
      </c>
      <c r="H84" s="14">
        <v>275.29000000000002</v>
      </c>
    </row>
    <row r="85" spans="1:8">
      <c r="A85" s="13">
        <v>1084</v>
      </c>
      <c r="B85" s="7" t="s">
        <v>86</v>
      </c>
      <c r="C85" s="7" t="s">
        <v>17</v>
      </c>
      <c r="D85" s="7" t="s">
        <v>14</v>
      </c>
      <c r="E85" s="7" t="s">
        <v>15</v>
      </c>
      <c r="F85" s="7">
        <v>4937</v>
      </c>
      <c r="G85" s="7">
        <v>9</v>
      </c>
      <c r="H85" s="14">
        <v>1243.29</v>
      </c>
    </row>
    <row r="86" spans="1:8">
      <c r="A86" s="13">
        <v>1085</v>
      </c>
      <c r="B86" s="7" t="s">
        <v>87</v>
      </c>
      <c r="C86" s="7" t="s">
        <v>9</v>
      </c>
      <c r="D86" s="7" t="s">
        <v>24</v>
      </c>
      <c r="E86" s="7" t="s">
        <v>25</v>
      </c>
      <c r="F86" s="7">
        <v>3732</v>
      </c>
      <c r="G86" s="7">
        <v>6</v>
      </c>
      <c r="H86" s="14">
        <v>1075.96</v>
      </c>
    </row>
    <row r="87" spans="1:8">
      <c r="A87" s="13">
        <v>1086</v>
      </c>
      <c r="B87" s="7" t="s">
        <v>33</v>
      </c>
      <c r="C87" s="7" t="s">
        <v>17</v>
      </c>
      <c r="D87" s="7" t="s">
        <v>10</v>
      </c>
      <c r="E87" s="7" t="s">
        <v>28</v>
      </c>
      <c r="F87" s="7">
        <v>265</v>
      </c>
      <c r="G87" s="7">
        <v>4</v>
      </c>
      <c r="H87" s="14">
        <v>37.96</v>
      </c>
    </row>
    <row r="88" spans="1:8">
      <c r="A88" s="13">
        <v>1087</v>
      </c>
      <c r="B88" s="7" t="s">
        <v>88</v>
      </c>
      <c r="C88" s="7" t="s">
        <v>9</v>
      </c>
      <c r="D88" s="7" t="s">
        <v>10</v>
      </c>
      <c r="E88" s="7" t="s">
        <v>11</v>
      </c>
      <c r="F88" s="7">
        <v>4073</v>
      </c>
      <c r="G88" s="7">
        <v>5</v>
      </c>
      <c r="H88" s="14">
        <v>401.34</v>
      </c>
    </row>
    <row r="89" spans="1:8">
      <c r="A89" s="13">
        <v>1088</v>
      </c>
      <c r="B89" s="7" t="s">
        <v>89</v>
      </c>
      <c r="C89" s="7" t="s">
        <v>17</v>
      </c>
      <c r="D89" s="7" t="s">
        <v>14</v>
      </c>
      <c r="E89" s="7" t="s">
        <v>22</v>
      </c>
      <c r="F89" s="7">
        <v>1035</v>
      </c>
      <c r="G89" s="7">
        <v>5</v>
      </c>
      <c r="H89" s="14">
        <v>155.06</v>
      </c>
    </row>
    <row r="90" spans="1:8">
      <c r="A90" s="13">
        <v>1089</v>
      </c>
      <c r="B90" s="7" t="s">
        <v>90</v>
      </c>
      <c r="C90" s="7" t="s">
        <v>17</v>
      </c>
      <c r="D90" s="7" t="s">
        <v>24</v>
      </c>
      <c r="E90" s="7" t="s">
        <v>25</v>
      </c>
      <c r="F90" s="7">
        <v>3328</v>
      </c>
      <c r="G90" s="7">
        <v>3</v>
      </c>
      <c r="H90" s="14">
        <v>768.24</v>
      </c>
    </row>
    <row r="91" spans="1:8">
      <c r="A91" s="13">
        <v>1090</v>
      </c>
      <c r="B91" s="7" t="s">
        <v>91</v>
      </c>
      <c r="C91" s="7" t="s">
        <v>9</v>
      </c>
      <c r="D91" s="7" t="s">
        <v>10</v>
      </c>
      <c r="E91" s="7" t="s">
        <v>11</v>
      </c>
      <c r="F91" s="7">
        <v>4820</v>
      </c>
      <c r="G91" s="7">
        <v>1</v>
      </c>
      <c r="H91" s="14">
        <v>769.76</v>
      </c>
    </row>
    <row r="92" spans="1:8">
      <c r="A92" s="13">
        <v>1091</v>
      </c>
      <c r="B92" s="7" t="s">
        <v>92</v>
      </c>
      <c r="C92" s="7" t="s">
        <v>9</v>
      </c>
      <c r="D92" s="7" t="s">
        <v>24</v>
      </c>
      <c r="E92" s="7" t="s">
        <v>25</v>
      </c>
      <c r="F92" s="7">
        <v>1072</v>
      </c>
      <c r="G92" s="7">
        <v>1</v>
      </c>
      <c r="H92" s="14">
        <v>80.77</v>
      </c>
    </row>
    <row r="93" spans="1:8">
      <c r="A93" s="13">
        <v>1092</v>
      </c>
      <c r="B93" s="7" t="s">
        <v>26</v>
      </c>
      <c r="C93" s="7" t="s">
        <v>21</v>
      </c>
      <c r="D93" s="7" t="s">
        <v>14</v>
      </c>
      <c r="E93" s="7" t="s">
        <v>15</v>
      </c>
      <c r="F93" s="7">
        <v>642</v>
      </c>
      <c r="G93" s="7">
        <v>5</v>
      </c>
      <c r="H93" s="14">
        <v>120.14</v>
      </c>
    </row>
    <row r="94" spans="1:8">
      <c r="A94" s="13">
        <v>1093</v>
      </c>
      <c r="B94" s="7" t="s">
        <v>93</v>
      </c>
      <c r="C94" s="7" t="s">
        <v>9</v>
      </c>
      <c r="D94" s="7" t="s">
        <v>24</v>
      </c>
      <c r="E94" s="7" t="s">
        <v>25</v>
      </c>
      <c r="F94" s="7">
        <v>4084</v>
      </c>
      <c r="G94" s="7">
        <v>8</v>
      </c>
      <c r="H94" s="14">
        <v>623.52</v>
      </c>
    </row>
    <row r="95" spans="1:8">
      <c r="A95" s="13">
        <v>1094</v>
      </c>
      <c r="B95" s="7" t="s">
        <v>72</v>
      </c>
      <c r="C95" s="7" t="s">
        <v>13</v>
      </c>
      <c r="D95" s="7" t="s">
        <v>14</v>
      </c>
      <c r="E95" s="7" t="s">
        <v>22</v>
      </c>
      <c r="F95" s="7">
        <v>4310</v>
      </c>
      <c r="G95" s="7">
        <v>5</v>
      </c>
      <c r="H95" s="14">
        <v>1008.87</v>
      </c>
    </row>
    <row r="96" spans="1:8">
      <c r="A96" s="13">
        <v>1095</v>
      </c>
      <c r="B96" s="7" t="s">
        <v>94</v>
      </c>
      <c r="C96" s="7" t="s">
        <v>9</v>
      </c>
      <c r="D96" s="7" t="s">
        <v>14</v>
      </c>
      <c r="E96" s="7" t="s">
        <v>22</v>
      </c>
      <c r="F96" s="7">
        <v>1595</v>
      </c>
      <c r="G96" s="7">
        <v>8</v>
      </c>
      <c r="H96" s="14">
        <v>319.02</v>
      </c>
    </row>
    <row r="97" spans="1:8">
      <c r="A97" s="13">
        <v>1096</v>
      </c>
      <c r="B97" s="7" t="s">
        <v>95</v>
      </c>
      <c r="C97" s="7" t="s">
        <v>13</v>
      </c>
      <c r="D97" s="7" t="s">
        <v>14</v>
      </c>
      <c r="E97" s="7" t="s">
        <v>22</v>
      </c>
      <c r="F97" s="7">
        <v>911</v>
      </c>
      <c r="G97" s="7">
        <v>4</v>
      </c>
      <c r="H97" s="14">
        <v>73.959999999999994</v>
      </c>
    </row>
    <row r="98" spans="1:8">
      <c r="A98" s="13">
        <v>1097</v>
      </c>
      <c r="B98" s="7" t="s">
        <v>96</v>
      </c>
      <c r="C98" s="7" t="s">
        <v>9</v>
      </c>
      <c r="D98" s="7" t="s">
        <v>14</v>
      </c>
      <c r="E98" s="7" t="s">
        <v>15</v>
      </c>
      <c r="F98" s="7">
        <v>376</v>
      </c>
      <c r="G98" s="7">
        <v>2</v>
      </c>
      <c r="H98" s="14">
        <v>34.520000000000003</v>
      </c>
    </row>
    <row r="99" spans="1:8">
      <c r="A99" s="13">
        <v>1098</v>
      </c>
      <c r="B99" s="7" t="s">
        <v>53</v>
      </c>
      <c r="C99" s="7" t="s">
        <v>17</v>
      </c>
      <c r="D99" s="7" t="s">
        <v>10</v>
      </c>
      <c r="E99" s="7" t="s">
        <v>11</v>
      </c>
      <c r="F99" s="7">
        <v>3887</v>
      </c>
      <c r="G99" s="7">
        <v>6</v>
      </c>
      <c r="H99" s="14">
        <v>951.46</v>
      </c>
    </row>
    <row r="100" spans="1:8">
      <c r="A100" s="13">
        <v>1099</v>
      </c>
      <c r="B100" s="7" t="s">
        <v>97</v>
      </c>
      <c r="C100" s="7" t="s">
        <v>13</v>
      </c>
      <c r="D100" s="7" t="s">
        <v>24</v>
      </c>
      <c r="E100" s="7" t="s">
        <v>25</v>
      </c>
      <c r="F100" s="7">
        <v>1894</v>
      </c>
      <c r="G100" s="7">
        <v>8</v>
      </c>
      <c r="H100" s="14">
        <v>252.74</v>
      </c>
    </row>
    <row r="101" spans="1:8">
      <c r="A101" s="15">
        <v>1100</v>
      </c>
      <c r="B101" s="16" t="s">
        <v>98</v>
      </c>
      <c r="C101" s="16" t="s">
        <v>21</v>
      </c>
      <c r="D101" s="16" t="s">
        <v>14</v>
      </c>
      <c r="E101" s="16" t="s">
        <v>15</v>
      </c>
      <c r="F101" s="16">
        <v>3802</v>
      </c>
      <c r="G101" s="16">
        <v>3</v>
      </c>
      <c r="H101" s="17">
        <v>1042.6199999999999</v>
      </c>
    </row>
    <row r="102" spans="1:8">
      <c r="E102" s="8" t="s">
        <v>99</v>
      </c>
      <c r="F102" s="9">
        <f>SUM(F2:F101)</f>
        <v>248361</v>
      </c>
    </row>
    <row r="103" spans="1:8">
      <c r="E103" s="4" t="s">
        <v>100</v>
      </c>
      <c r="F103" s="5">
        <f>AVERAGE(F2:F101)</f>
        <v>2483.61</v>
      </c>
    </row>
    <row r="104" spans="1:8" ht="30.75">
      <c r="E104" s="6" t="s">
        <v>101</v>
      </c>
      <c r="F104" s="5">
        <f>MAX(F2:F101)</f>
        <v>4996</v>
      </c>
    </row>
    <row r="105" spans="1:8" ht="30.75">
      <c r="E105" s="6" t="s">
        <v>102</v>
      </c>
      <c r="F105" s="5">
        <f>MIN(F2:F101)</f>
        <v>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3D2F-BF2A-48B9-B7FB-EFF44723194C}">
  <dimension ref="A3:B7"/>
  <sheetViews>
    <sheetView workbookViewId="0">
      <selection activeCell="A5" sqref="A5"/>
    </sheetView>
  </sheetViews>
  <sheetFormatPr defaultRowHeight="15"/>
  <cols>
    <col min="1" max="1" width="13.7109375" bestFit="1" customWidth="1"/>
    <col min="2" max="2" width="12.140625" bestFit="1" customWidth="1"/>
  </cols>
  <sheetData>
    <row r="3" spans="1:2">
      <c r="A3" s="1" t="s">
        <v>3</v>
      </c>
      <c r="B3" t="s">
        <v>103</v>
      </c>
    </row>
    <row r="4" spans="1:2">
      <c r="A4" t="s">
        <v>24</v>
      </c>
      <c r="B4" s="2">
        <v>76553</v>
      </c>
    </row>
    <row r="5" spans="1:2">
      <c r="A5" t="s">
        <v>14</v>
      </c>
      <c r="B5" s="2">
        <v>103821</v>
      </c>
    </row>
    <row r="6" spans="1:2">
      <c r="A6" t="s">
        <v>10</v>
      </c>
      <c r="B6" s="2">
        <v>67987</v>
      </c>
    </row>
    <row r="7" spans="1:2">
      <c r="A7" t="s">
        <v>104</v>
      </c>
      <c r="B7" s="2">
        <v>248361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E57F-BB91-4D8A-8F1D-57B55C75EB51}">
  <dimension ref="A3:B8"/>
  <sheetViews>
    <sheetView workbookViewId="0">
      <selection activeCell="B11" sqref="B11"/>
    </sheetView>
  </sheetViews>
  <sheetFormatPr defaultRowHeight="15"/>
  <cols>
    <col min="1" max="1" width="11.42578125" bestFit="1" customWidth="1"/>
    <col min="2" max="2" width="12.140625" bestFit="1" customWidth="1"/>
  </cols>
  <sheetData>
    <row r="3" spans="1:2">
      <c r="A3" s="1" t="s">
        <v>2</v>
      </c>
      <c r="B3" t="s">
        <v>103</v>
      </c>
    </row>
    <row r="4" spans="1:2">
      <c r="A4" t="s">
        <v>9</v>
      </c>
      <c r="B4" s="2">
        <v>66868</v>
      </c>
    </row>
    <row r="5" spans="1:2">
      <c r="A5" t="s">
        <v>13</v>
      </c>
      <c r="B5" s="2">
        <v>64444</v>
      </c>
    </row>
    <row r="6" spans="1:2">
      <c r="A6" t="s">
        <v>17</v>
      </c>
      <c r="B6" s="2">
        <v>67777</v>
      </c>
    </row>
    <row r="7" spans="1:2">
      <c r="A7" t="s">
        <v>21</v>
      </c>
      <c r="B7" s="2">
        <v>49272</v>
      </c>
    </row>
    <row r="8" spans="1:2">
      <c r="A8" t="s">
        <v>104</v>
      </c>
      <c r="B8" s="2">
        <v>248361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59B3-6B55-49CE-B356-CC17FE202FB8}">
  <dimension ref="A3:B9"/>
  <sheetViews>
    <sheetView tabSelected="1" workbookViewId="0">
      <selection activeCell="B7" sqref="B7"/>
    </sheetView>
  </sheetViews>
  <sheetFormatPr defaultRowHeight="15"/>
  <cols>
    <col min="1" max="1" width="11.42578125" bestFit="1" customWidth="1"/>
    <col min="2" max="2" width="12.140625" bestFit="1" customWidth="1"/>
  </cols>
  <sheetData>
    <row r="3" spans="1:2">
      <c r="A3" s="1" t="s">
        <v>4</v>
      </c>
      <c r="B3" t="s">
        <v>103</v>
      </c>
    </row>
    <row r="4" spans="1:2">
      <c r="A4" t="s">
        <v>11</v>
      </c>
      <c r="B4" s="2">
        <v>36107</v>
      </c>
    </row>
    <row r="5" spans="1:2">
      <c r="A5" t="s">
        <v>28</v>
      </c>
      <c r="B5" s="2">
        <v>31880</v>
      </c>
    </row>
    <row r="6" spans="1:2">
      <c r="A6" t="s">
        <v>22</v>
      </c>
      <c r="B6" s="2">
        <v>43863</v>
      </c>
    </row>
    <row r="7" spans="1:2">
      <c r="A7" t="s">
        <v>15</v>
      </c>
      <c r="B7" s="2">
        <v>59958</v>
      </c>
    </row>
    <row r="8" spans="1:2">
      <c r="A8" t="s">
        <v>25</v>
      </c>
      <c r="B8" s="2">
        <v>48013</v>
      </c>
    </row>
    <row r="9" spans="1:2">
      <c r="A9" t="s">
        <v>104</v>
      </c>
      <c r="B9" s="2">
        <v>219821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D197-105B-4530-923C-5FD5021146CF}">
  <dimension ref="A1:S5"/>
  <sheetViews>
    <sheetView workbookViewId="0">
      <selection activeCell="P17" sqref="P17"/>
    </sheetView>
  </sheetViews>
  <sheetFormatPr defaultRowHeight="15"/>
  <cols>
    <col min="1" max="1" width="27.42578125" customWidth="1"/>
    <col min="7" max="7" width="14" customWidth="1"/>
  </cols>
  <sheetData>
    <row r="1" spans="1:19">
      <c r="A1" s="18" t="s">
        <v>105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5" spans="1:19">
      <c r="B5" s="3"/>
    </row>
  </sheetData>
  <mergeCells count="1">
    <mergeCell ref="A1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2026-07-12T09:01:55Z</dcterms:created>
  <dcterms:modified xsi:type="dcterms:W3CDTF">2026-07-12T15:08:57Z</dcterms:modified>
  <cp:category/>
  <cp:contentStatus/>
</cp:coreProperties>
</file>